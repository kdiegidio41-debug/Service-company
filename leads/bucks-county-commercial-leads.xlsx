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How To Use" sheetId="1" state="visible" r:id="rId1"/>
    <sheet name="Call List" sheetId="2" state="visible" r:id="rId2"/>
    <sheet name="Phone Needed" sheetId="3" state="visible" r:id="rId3"/>
    <sheet name="Tracker" sheetId="4" state="visible" r:id="rId4"/>
  </sheets>
  <definedNames>
    <definedName name="_xlnm._FilterDatabase" localSheetId="1" hidden="1">'Call List'!$A$1:$O$182</definedName>
    <definedName name="_xlnm._FilterDatabase" localSheetId="2" hidden="1">'Phone Needed'!$A$1:$H$57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sz val="12"/>
    </font>
    <font>
      <name val="Arial"/>
      <b val="1"/>
    </font>
    <font>
      <name val="Arial"/>
      <b val="1"/>
      <color rgb="000B1F3A"/>
      <sz val="14"/>
    </font>
    <font>
      <name val="Arial"/>
      <b val="1"/>
      <color rgb="000B1F3A"/>
      <sz val="11"/>
    </font>
  </fonts>
  <fills count="7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E6F4EA"/>
      </patternFill>
    </fill>
    <fill>
      <patternFill patternType="solid">
        <fgColor rgb="00FFFDE7"/>
      </patternFill>
    </fill>
    <fill>
      <patternFill patternType="solid">
        <fgColor rgb="00FFF8E1"/>
      </patternFill>
    </fill>
    <fill>
      <patternFill patternType="solid">
        <fgColor rgb="00EEF1F5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3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164" fontId="2" fillId="4" borderId="1" applyAlignment="1" pivotButton="0" quotePrefix="0" xfId="0">
      <alignment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1" fillId="2" borderId="0" pivotButton="0" quotePrefix="0" xfId="0"/>
    <xf numFmtId="0" fontId="4" fillId="0" borderId="0" pivotButton="0" quotePrefix="0" xfId="0"/>
    <xf numFmtId="165" fontId="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EverGlow commercial cold-call list: Bucks County first, then Montgomery County and Chestnut Hill</t>
        </is>
      </c>
    </row>
    <row r="2">
      <c r="A2" s="2" t="inlineStr">
        <is>
          <t>Built October 2, 2026 from public web listings. 181 leads with phone numbers, 56 more that need a number.</t>
        </is>
      </c>
    </row>
    <row r="3">
      <c r="A3" s="2" t="inlineStr"/>
    </row>
    <row r="4">
      <c r="A4" s="3" t="inlineStr">
        <is>
          <t>How to work it</t>
        </is>
      </c>
    </row>
    <row r="5">
      <c r="A5" s="2" t="inlineStr">
        <is>
          <t>1. Start at the top. The list is sorted Bucks County first, then by priority (A, B, C), then by town.</t>
        </is>
      </c>
    </row>
    <row r="6">
      <c r="A6" s="2" t="inlineStr">
        <is>
          <t>2. Fill in only the yellow columns: Status (dropdown), Date Called, Contact Name, Follow-up Date, Notes.</t>
        </is>
      </c>
    </row>
    <row r="7">
      <c r="A7" s="2" t="inlineStr">
        <is>
          <t>3. The Tracker tab counts your statuses automatically.</t>
        </is>
      </c>
    </row>
    <row r="8">
      <c r="A8" s="2" t="inlineStr">
        <is>
          <t>4. When you have a spare minute, look up numbers on the Phone Needed tab and move good ones onto the Call List.</t>
        </is>
      </c>
    </row>
    <row r="9">
      <c r="A9" s="2" t="inlineStr"/>
    </row>
    <row r="10">
      <c r="A10" s="3" t="inlineStr">
        <is>
          <t>Priority</t>
        </is>
      </c>
    </row>
    <row r="11">
      <c r="A11" s="2" t="inlineStr">
        <is>
          <t>A: owner or GM can say yes fast, or one call covers several properties (bars, restaurant-bars, breweries, wineries, dealerships, hotels, property managers, shopping centers).</t>
        </is>
      </c>
    </row>
    <row r="12">
      <c r="A12" s="2" t="inlineStr">
        <is>
          <t>B: worth calling, smaller ticket or slower decision (restaurants, cafes, retail, salons, senior living, business districts).</t>
        </is>
      </c>
    </row>
    <row r="13">
      <c r="A13" s="2" t="inlineStr">
        <is>
          <t>C: networking and referrals rather than a direct sale (churches, chambers of commerce, garden centers).</t>
        </is>
      </c>
    </row>
    <row r="14">
      <c r="A14" s="2" t="inlineStr"/>
    </row>
    <row r="15">
      <c r="A15" s="3" t="inlineStr">
        <is>
          <t>Read before you dial</t>
        </is>
      </c>
    </row>
    <row r="16">
      <c r="A16" s="2" t="inlineStr">
        <is>
          <t>These numbers come from public listing sites (AAA, KBB, city-data, visitPA, tourism and chamber pages). None were dialed to confirm.</t>
        </is>
      </c>
    </row>
    <row r="17">
      <c r="A17" s="2" t="inlineStr">
        <is>
          <t>Some listings are years old. Rows marked "Older listing" or "Directory listing" in Notes most need checking.</t>
        </is>
      </c>
    </row>
    <row r="18">
      <c r="A18" s="2" t="inlineStr">
        <is>
          <t>Dealership numbers from KBB/CarEdge are often call-tracking lines that ring the sales floor. Ask for the general manager.</t>
        </is>
      </c>
    </row>
    <row r="19">
      <c r="A19" s="2" t="inlineStr">
        <is>
          <t>National chains (McDonald's, Outback, Panera and similar) were left out: decor is decided at corporate, not the store.</t>
        </is>
      </c>
    </row>
    <row r="20">
      <c r="A20" s="2" t="inlineStr">
        <is>
          <t>Peddler's Village runs its own big light show, so its shops were left out.</t>
        </is>
      </c>
    </row>
    <row r="21">
      <c r="A21" s="2" t="inlineStr"/>
    </row>
    <row r="22">
      <c r="A22" s="3" t="inlineStr">
        <is>
          <t>30-second opener</t>
        </is>
      </c>
    </row>
    <row r="23">
      <c r="A23" s="2" t="inlineStr">
        <is>
          <t>"Hi, is the owner or manager around? ... This is Kris with EverGlow Christmas Lighting. We're a local Bucks County company,</t>
        </is>
      </c>
    </row>
    <row r="24">
      <c r="A24" s="2" t="inlineStr">
        <is>
          <t>and we design, install, maintain and take down holiday lights for businesses. Clip-on only, nothing nailed into your building.</t>
        </is>
      </c>
    </row>
    <row r="25">
      <c r="A25" s="2" t="inlineStr">
        <is>
          <t>We're booking November installs now. Can I swing by this week, take a quick look at the storefront, and get you a free quote within 24 hours?"</t>
        </is>
      </c>
    </row>
    <row r="26">
      <c r="A26" s="2" t="inlineStr"/>
    </row>
    <row r="27">
      <c r="A27" s="2" t="inlineStr">
        <is>
          <t>If they say "we do it ourselves": "Totally fair. A lot of owners tell us they'd rather not have staff on a ladder over the lot.</t>
        </is>
      </c>
    </row>
    <row r="28">
      <c r="A28" s="2" t="inlineStr">
        <is>
          <t>We also come back within 24 hours if anything goes out, and take it all down in January. Can I leave you a quote just to compare?"</t>
        </is>
      </c>
    </row>
    <row r="29">
      <c r="A29" s="2" t="inlineStr"/>
    </row>
    <row r="30">
      <c r="A30" s="3" t="inlineStr">
        <is>
          <t>Best times to call</t>
        </is>
      </c>
    </row>
    <row r="31">
      <c r="A31" s="2" t="inlineStr">
        <is>
          <t>Restaurants and bars: 2-4pm, between lunch and dinner. Avoid Friday and Saturday evenings.</t>
        </is>
      </c>
    </row>
    <row r="32">
      <c r="A32" s="2" t="inlineStr">
        <is>
          <t>Offices, dealerships, property managers, senior living: Tuesday-Thursday, 9-11am.</t>
        </is>
      </c>
    </row>
    <row r="33">
      <c r="A33" s="2" t="inlineStr">
        <is>
          <t>Retail and salons: mid-morning on weekdays, before it gets busy.</t>
        </is>
      </c>
    </row>
    <row r="34">
      <c r="A34" s="2" t="inlineStr"/>
    </row>
    <row r="35">
      <c r="A35" s="2" t="inlineStr">
        <is>
          <t>Phone: (267) 853-0058   |   EverglowChristmasLightsPA.com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40" customWidth="1" min="3" max="3"/>
    <col width="30" customWidth="1" min="4" max="4"/>
    <col width="15" customWidth="1" min="5" max="5"/>
    <col width="36" customWidth="1" min="6" max="6"/>
    <col width="22" customWidth="1" min="7" max="7"/>
    <col width="14" customWidth="1" min="8" max="8"/>
    <col width="20" customWidth="1" min="9" max="9"/>
    <col width="12" customWidth="1" min="10" max="10"/>
    <col width="18" customWidth="1" min="11" max="11"/>
    <col width="13" customWidth="1" min="12" max="12"/>
    <col width="40" customWidth="1" min="13" max="13"/>
    <col width="60" customWidth="1" min="14" max="14"/>
    <col width="40" customWidth="1" min="15" max="15"/>
  </cols>
  <sheetData>
    <row r="1" ht="22" customHeight="1">
      <c r="A1" s="4" t="inlineStr">
        <is>
          <t>#</t>
        </is>
      </c>
      <c r="B1" s="4" t="inlineStr">
        <is>
          <t>Priority</t>
        </is>
      </c>
      <c r="C1" s="4" t="inlineStr">
        <is>
          <t>Business</t>
        </is>
      </c>
      <c r="D1" s="4" t="inlineStr">
        <is>
          <t>Category</t>
        </is>
      </c>
      <c r="E1" s="4" t="inlineStr">
        <is>
          <t>Phone</t>
        </is>
      </c>
      <c r="F1" s="4" t="inlineStr">
        <is>
          <t>Address</t>
        </is>
      </c>
      <c r="G1" s="4" t="inlineStr">
        <is>
          <t>Town</t>
        </is>
      </c>
      <c r="H1" s="4" t="inlineStr">
        <is>
          <t>County</t>
        </is>
      </c>
      <c r="I1" s="4" t="inlineStr">
        <is>
          <t>Status</t>
        </is>
      </c>
      <c r="J1" s="4" t="inlineStr">
        <is>
          <t>Date Called</t>
        </is>
      </c>
      <c r="K1" s="4" t="inlineStr">
        <is>
          <t>Contact Name</t>
        </is>
      </c>
      <c r="L1" s="4" t="inlineStr">
        <is>
          <t>Follow-up Date</t>
        </is>
      </c>
      <c r="M1" s="4" t="inlineStr">
        <is>
          <t>Notes</t>
        </is>
      </c>
      <c r="N1" s="4" t="inlineStr">
        <is>
          <t>Call Tip</t>
        </is>
      </c>
      <c r="O1" s="4" t="inlineStr">
        <is>
          <t>Source</t>
        </is>
      </c>
    </row>
    <row r="2">
      <c r="A2" s="5" t="n">
        <v>1</v>
      </c>
      <c r="B2" s="6" t="inlineStr">
        <is>
          <t>A</t>
        </is>
      </c>
      <c r="C2" s="5" t="inlineStr">
        <is>
          <t>American Auto Bensalem</t>
        </is>
      </c>
      <c r="D2" s="5" t="inlineStr">
        <is>
          <t>Car dealership</t>
        </is>
      </c>
      <c r="E2" s="7" t="inlineStr">
        <is>
          <t>(267) 332-0768</t>
        </is>
      </c>
      <c r="F2" s="5" t="inlineStr">
        <is>
          <t>2580 Bristol Pike</t>
        </is>
      </c>
      <c r="G2" s="5" t="inlineStr">
        <is>
          <t>Bensalem</t>
        </is>
      </c>
      <c r="H2" s="5" t="inlineStr">
        <is>
          <t>Bucks</t>
        </is>
      </c>
      <c r="I2" s="8" t="inlineStr">
        <is>
          <t>Not called</t>
        </is>
      </c>
      <c r="J2" s="9" t="n"/>
      <c r="K2" s="8" t="n"/>
      <c r="L2" s="9" t="n"/>
      <c r="M2" s="8" t="n"/>
      <c r="N2" s="5" t="inlineStr">
        <is>
          <t>Ask for the general manager. Listing-site numbers can be tracking lines that ring sales.</t>
        </is>
      </c>
      <c r="O2" s="5" t="inlineStr">
        <is>
          <t>creditacceptance.com</t>
        </is>
      </c>
    </row>
    <row r="3">
      <c r="A3" s="5" t="n">
        <v>2</v>
      </c>
      <c r="B3" s="6" t="inlineStr">
        <is>
          <t>A</t>
        </is>
      </c>
      <c r="C3" s="5" t="inlineStr">
        <is>
          <t>Blue Sunday Bar &amp; Grill</t>
        </is>
      </c>
      <c r="D3" s="5" t="inlineStr">
        <is>
          <t>Restaurant/bar</t>
        </is>
      </c>
      <c r="E3" s="7" t="inlineStr">
        <is>
          <t>(215) 883-9988</t>
        </is>
      </c>
      <c r="F3" s="5" t="inlineStr">
        <is>
          <t>3340 Street Rd</t>
        </is>
      </c>
      <c r="G3" s="5" t="inlineStr">
        <is>
          <t>Bensalem</t>
        </is>
      </c>
      <c r="H3" s="5" t="inlineStr">
        <is>
          <t>Bucks</t>
        </is>
      </c>
      <c r="I3" s="8" t="inlineStr">
        <is>
          <t>Not called</t>
        </is>
      </c>
      <c r="J3" s="9" t="n"/>
      <c r="K3" s="8" t="n"/>
      <c r="L3" s="9" t="n"/>
      <c r="M3" s="8" t="inlineStr">
        <is>
          <t>Directory listing: confirm the number on the first call.</t>
        </is>
      </c>
      <c r="N3" s="5" t="inlineStr">
        <is>
          <t>Ask for the owner or GM. Call 2-4pm, between lunch and dinner.</t>
        </is>
      </c>
      <c r="O3" s="5" t="inlineStr">
        <is>
          <t>city-data.com</t>
        </is>
      </c>
    </row>
    <row r="4">
      <c r="A4" s="5" t="n">
        <v>3</v>
      </c>
      <c r="B4" s="6" t="inlineStr">
        <is>
          <t>A</t>
        </is>
      </c>
      <c r="C4" s="5" t="inlineStr">
        <is>
          <t>Founding Fathers Sports Bar &amp; Grill</t>
        </is>
      </c>
      <c r="D4" s="5" t="inlineStr">
        <is>
          <t>Restaurant/bar</t>
        </is>
      </c>
      <c r="E4" s="7" t="inlineStr">
        <is>
          <t>(215) 902-9159</t>
        </is>
      </c>
      <c r="F4" s="5" t="inlineStr">
        <is>
          <t>2900 Street Rd</t>
        </is>
      </c>
      <c r="G4" s="5" t="inlineStr">
        <is>
          <t>Bensalem</t>
        </is>
      </c>
      <c r="H4" s="5" t="inlineStr">
        <is>
          <t>Bucks</t>
        </is>
      </c>
      <c r="I4" s="8" t="inlineStr">
        <is>
          <t>Not called</t>
        </is>
      </c>
      <c r="J4" s="9" t="n"/>
      <c r="K4" s="8" t="n"/>
      <c r="L4" s="9" t="n"/>
      <c r="M4" s="8" t="n"/>
      <c r="N4" s="5" t="inlineStr">
        <is>
          <t>Ask for the owner or GM. Call 2-4pm, between lunch and dinner.</t>
        </is>
      </c>
      <c r="O4" s="5" t="inlineStr">
        <is>
          <t>aaa.com</t>
        </is>
      </c>
    </row>
    <row r="5">
      <c r="A5" s="5" t="n">
        <v>4</v>
      </c>
      <c r="B5" s="6" t="inlineStr">
        <is>
          <t>A</t>
        </is>
      </c>
      <c r="C5" s="5" t="inlineStr">
        <is>
          <t>La Cena Restaurant &amp; Bar</t>
        </is>
      </c>
      <c r="D5" s="5" t="inlineStr">
        <is>
          <t>Restaurant/bar</t>
        </is>
      </c>
      <c r="E5" s="7" t="inlineStr">
        <is>
          <t>(215) 639-9969</t>
        </is>
      </c>
      <c r="F5" s="5" t="inlineStr">
        <is>
          <t>2233 Galloway Rd</t>
        </is>
      </c>
      <c r="G5" s="5" t="inlineStr">
        <is>
          <t>Bensalem</t>
        </is>
      </c>
      <c r="H5" s="5" t="inlineStr">
        <is>
          <t>Bucks</t>
        </is>
      </c>
      <c r="I5" s="8" t="inlineStr">
        <is>
          <t>Not called</t>
        </is>
      </c>
      <c r="J5" s="9" t="n"/>
      <c r="K5" s="8" t="n"/>
      <c r="L5" s="9" t="n"/>
      <c r="M5" s="8" t="inlineStr">
        <is>
          <t>Directory listing: confirm the number on the first call.</t>
        </is>
      </c>
      <c r="N5" s="5" t="inlineStr">
        <is>
          <t>Ask for the owner or GM. Call 2-4pm, between lunch and dinner.</t>
        </is>
      </c>
      <c r="O5" s="5" t="inlineStr">
        <is>
          <t>city-data.com</t>
        </is>
      </c>
    </row>
    <row r="6">
      <c r="A6" s="5" t="n">
        <v>5</v>
      </c>
      <c r="B6" s="6" t="inlineStr">
        <is>
          <t>A</t>
        </is>
      </c>
      <c r="C6" s="5" t="inlineStr">
        <is>
          <t>Buckingham Valley Vineyards and Winery</t>
        </is>
      </c>
      <c r="D6" s="5" t="inlineStr">
        <is>
          <t>Winery</t>
        </is>
      </c>
      <c r="E6" s="7" t="inlineStr">
        <is>
          <t>(215) 794-7188</t>
        </is>
      </c>
      <c r="F6" s="5" t="inlineStr">
        <is>
          <t>1521 Durham Rd</t>
        </is>
      </c>
      <c r="G6" s="5" t="inlineStr">
        <is>
          <t>Buckingham</t>
        </is>
      </c>
      <c r="H6" s="5" t="inlineStr">
        <is>
          <t>Bucks</t>
        </is>
      </c>
      <c r="I6" s="8" t="inlineStr">
        <is>
          <t>Not called</t>
        </is>
      </c>
      <c r="J6" s="9" t="n"/>
      <c r="K6" s="8" t="n"/>
      <c r="L6" s="9" t="n"/>
      <c r="M6" s="8" t="n"/>
      <c r="N6" s="5" t="inlineStr">
        <is>
          <t>Ask for the owner.</t>
        </is>
      </c>
      <c r="O6" s="5" t="inlineStr">
        <is>
          <t>visitpa.com</t>
        </is>
      </c>
    </row>
    <row r="7">
      <c r="A7" s="5" t="n">
        <v>6</v>
      </c>
      <c r="B7" s="6" t="inlineStr">
        <is>
          <t>A</t>
        </is>
      </c>
      <c r="C7" s="5" t="inlineStr">
        <is>
          <t>BMW of Doylestown</t>
        </is>
      </c>
      <c r="D7" s="5" t="inlineStr">
        <is>
          <t>Car dealership</t>
        </is>
      </c>
      <c r="E7" s="7" t="inlineStr">
        <is>
          <t>(267) 898-2461</t>
        </is>
      </c>
      <c r="F7" s="5" t="inlineStr"/>
      <c r="G7" s="5" t="inlineStr">
        <is>
          <t>Doylestown</t>
        </is>
      </c>
      <c r="H7" s="5" t="inlineStr">
        <is>
          <t>Bucks</t>
        </is>
      </c>
      <c r="I7" s="8" t="inlineStr">
        <is>
          <t>Not called</t>
        </is>
      </c>
      <c r="J7" s="9" t="n"/>
      <c r="K7" s="8" t="n"/>
      <c r="L7" s="9" t="n"/>
      <c r="M7" s="8" t="n"/>
      <c r="N7" s="5" t="inlineStr">
        <is>
          <t>Ask for the general manager. Listing-site numbers can be tracking lines that ring sales.</t>
        </is>
      </c>
      <c r="O7" s="5" t="inlineStr">
        <is>
          <t>caredge.com</t>
        </is>
      </c>
    </row>
    <row r="8">
      <c r="A8" s="5" t="n">
        <v>7</v>
      </c>
      <c r="B8" s="6" t="inlineStr">
        <is>
          <t>A</t>
        </is>
      </c>
      <c r="C8" s="5" t="inlineStr">
        <is>
          <t>Bay Property Management Group (Bucks County)</t>
        </is>
      </c>
      <c r="D8" s="5" t="inlineStr">
        <is>
          <t>Property manager (residential + commercial)</t>
        </is>
      </c>
      <c r="E8" s="7" t="inlineStr">
        <is>
          <t>(215) 724-4043</t>
        </is>
      </c>
      <c r="F8" s="5" t="inlineStr">
        <is>
          <t>107 N Broad St #310</t>
        </is>
      </c>
      <c r="G8" s="5" t="inlineStr">
        <is>
          <t>Doylestown</t>
        </is>
      </c>
      <c r="H8" s="5" t="inlineStr">
        <is>
          <t>Bucks</t>
        </is>
      </c>
      <c r="I8" s="8" t="inlineStr">
        <is>
          <t>Not called</t>
        </is>
      </c>
      <c r="J8" s="9" t="n"/>
      <c r="K8" s="8" t="n"/>
      <c r="L8" s="9" t="n"/>
      <c r="M8" s="8" t="n"/>
      <c r="N8" s="5" t="inlineStr">
        <is>
          <t>Ask who handles holiday decor for the properties. Pitch a 3-year locked rate.</t>
        </is>
      </c>
      <c r="O8" s="5" t="inlineStr">
        <is>
          <t>baymgmtgroup.com; alt (267) 244-7215 (Dana Anderson x26150)</t>
        </is>
      </c>
    </row>
    <row r="9">
      <c r="A9" s="5" t="n">
        <v>8</v>
      </c>
      <c r="B9" s="6" t="inlineStr">
        <is>
          <t>A</t>
        </is>
      </c>
      <c r="C9" s="5" t="inlineStr">
        <is>
          <t>Chambers 19 Bistro Bar</t>
        </is>
      </c>
      <c r="D9" s="5" t="inlineStr">
        <is>
          <t>Restaurant/bar</t>
        </is>
      </c>
      <c r="E9" s="7" t="inlineStr">
        <is>
          <t>(215) 348-1940</t>
        </is>
      </c>
      <c r="F9" s="5" t="inlineStr">
        <is>
          <t>19 N Main St</t>
        </is>
      </c>
      <c r="G9" s="5" t="inlineStr">
        <is>
          <t>Doylestown</t>
        </is>
      </c>
      <c r="H9" s="5" t="inlineStr">
        <is>
          <t>Bucks</t>
        </is>
      </c>
      <c r="I9" s="8" t="inlineStr">
        <is>
          <t>Not called</t>
        </is>
      </c>
      <c r="J9" s="9" t="n"/>
      <c r="K9" s="8" t="n"/>
      <c r="L9" s="9" t="n"/>
      <c r="M9" s="8" t="n"/>
      <c r="N9" s="5" t="inlineStr">
        <is>
          <t>Ask for the owner or GM. Call 2-4pm, between lunch and dinner.</t>
        </is>
      </c>
      <c r="O9" s="5" t="inlineStr">
        <is>
          <t>aaa.com</t>
        </is>
      </c>
    </row>
    <row r="10">
      <c r="A10" s="5" t="n">
        <v>9</v>
      </c>
      <c r="B10" s="6" t="inlineStr">
        <is>
          <t>A</t>
        </is>
      </c>
      <c r="C10" s="5" t="inlineStr">
        <is>
          <t>Fred Beans Ford Lincoln</t>
        </is>
      </c>
      <c r="D10" s="5" t="inlineStr">
        <is>
          <t>Car dealership</t>
        </is>
      </c>
      <c r="E10" s="7" t="inlineStr">
        <is>
          <t>(888) 854-8597</t>
        </is>
      </c>
      <c r="F10" s="5" t="inlineStr">
        <is>
          <t>864 N Easton Rd</t>
        </is>
      </c>
      <c r="G10" s="5" t="inlineStr">
        <is>
          <t>Doylestown</t>
        </is>
      </c>
      <c r="H10" s="5" t="inlineStr">
        <is>
          <t>Bucks</t>
        </is>
      </c>
      <c r="I10" s="8" t="inlineStr">
        <is>
          <t>Not called</t>
        </is>
      </c>
      <c r="J10" s="9" t="n"/>
      <c r="K10" s="8" t="n"/>
      <c r="L10" s="9" t="n"/>
      <c r="M10" s="8" t="n"/>
      <c r="N10" s="5" t="inlineStr">
        <is>
          <t>Ask for the general manager. Listing-site numbers can be tracking lines that ring sales.</t>
        </is>
      </c>
      <c r="O10" s="5" t="inlineStr">
        <is>
          <t>ophelia.sdsu.edu dealer directory</t>
        </is>
      </c>
    </row>
    <row r="11">
      <c r="A11" s="5" t="n">
        <v>10</v>
      </c>
      <c r="B11" s="6" t="inlineStr">
        <is>
          <t>A</t>
        </is>
      </c>
      <c r="C11" s="5" t="inlineStr">
        <is>
          <t>Keystone Motors</t>
        </is>
      </c>
      <c r="D11" s="5" t="inlineStr">
        <is>
          <t>Car dealership</t>
        </is>
      </c>
      <c r="E11" s="7" t="inlineStr">
        <is>
          <t>(215) 348-9438</t>
        </is>
      </c>
      <c r="F11" s="5" t="inlineStr">
        <is>
          <t>235 S Main St</t>
        </is>
      </c>
      <c r="G11" s="5" t="inlineStr">
        <is>
          <t>Doylestown</t>
        </is>
      </c>
      <c r="H11" s="5" t="inlineStr">
        <is>
          <t>Bucks</t>
        </is>
      </c>
      <c r="I11" s="8" t="inlineStr">
        <is>
          <t>Not called</t>
        </is>
      </c>
      <c r="J11" s="9" t="n"/>
      <c r="K11" s="8" t="n"/>
      <c r="L11" s="9" t="n"/>
      <c r="M11" s="8" t="n"/>
      <c r="N11" s="5" t="inlineStr">
        <is>
          <t>Ask for the general manager. Listing-site numbers can be tracking lines that ring sales.</t>
        </is>
      </c>
      <c r="O11" s="5" t="inlineStr">
        <is>
          <t>ophelia.sdsu.edu dealer directory</t>
        </is>
      </c>
    </row>
    <row r="12">
      <c r="A12" s="5" t="n">
        <v>11</v>
      </c>
      <c r="B12" s="6" t="inlineStr">
        <is>
          <t>A</t>
        </is>
      </c>
      <c r="C12" s="5" t="inlineStr">
        <is>
          <t>Mainstreet Inn</t>
        </is>
      </c>
      <c r="D12" s="5" t="inlineStr">
        <is>
          <t>Hotel</t>
        </is>
      </c>
      <c r="E12" s="7" t="inlineStr">
        <is>
          <t>(215) 348-9222</t>
        </is>
      </c>
      <c r="F12" s="5" t="inlineStr">
        <is>
          <t>625 N Main St</t>
        </is>
      </c>
      <c r="G12" s="5" t="inlineStr">
        <is>
          <t>Doylestown</t>
        </is>
      </c>
      <c r="H12" s="5" t="inlineStr">
        <is>
          <t>Bucks</t>
        </is>
      </c>
      <c r="I12" s="8" t="inlineStr">
        <is>
          <t>Not called</t>
        </is>
      </c>
      <c r="J12" s="9" t="n"/>
      <c r="K12" s="8" t="n"/>
      <c r="L12" s="9" t="n"/>
      <c r="M12" s="8" t="n"/>
      <c r="N12" s="5" t="inlineStr">
        <is>
          <t>Ask for the general manager.</t>
        </is>
      </c>
      <c r="O12" s="5" t="inlineStr">
        <is>
          <t>hotels.com</t>
        </is>
      </c>
    </row>
    <row r="13">
      <c r="A13" s="5" t="n">
        <v>12</v>
      </c>
      <c r="B13" s="6" t="inlineStr">
        <is>
          <t>A</t>
        </is>
      </c>
      <c r="C13" s="5" t="inlineStr">
        <is>
          <t>Maxwell's on Main</t>
        </is>
      </c>
      <c r="D13" s="5" t="inlineStr">
        <is>
          <t>Restaurant/bar</t>
        </is>
      </c>
      <c r="E13" s="7" t="inlineStr">
        <is>
          <t>(215) 340-1880</t>
        </is>
      </c>
      <c r="F13" s="5" t="inlineStr">
        <is>
          <t>37 N Main St</t>
        </is>
      </c>
      <c r="G13" s="5" t="inlineStr">
        <is>
          <t>Doylestown</t>
        </is>
      </c>
      <c r="H13" s="5" t="inlineStr">
        <is>
          <t>Bucks</t>
        </is>
      </c>
      <c r="I13" s="8" t="inlineStr">
        <is>
          <t>Not called</t>
        </is>
      </c>
      <c r="J13" s="9" t="n"/>
      <c r="K13" s="8" t="n"/>
      <c r="L13" s="9" t="n"/>
      <c r="M13" s="8" t="n"/>
      <c r="N13" s="5" t="inlineStr">
        <is>
          <t>Ask for the owner or GM. Call 2-4pm, between lunch and dinner.</t>
        </is>
      </c>
      <c r="O13" s="5" t="inlineStr">
        <is>
          <t>aaa.com</t>
        </is>
      </c>
    </row>
    <row r="14">
      <c r="A14" s="5" t="n">
        <v>13</v>
      </c>
      <c r="B14" s="6" t="inlineStr">
        <is>
          <t>A</t>
        </is>
      </c>
      <c r="C14" s="5" t="inlineStr">
        <is>
          <t>The Doylestown Inn / The Hattery Stove &amp; Still</t>
        </is>
      </c>
      <c r="D14" s="5" t="inlineStr">
        <is>
          <t>Hotel/restaurant</t>
        </is>
      </c>
      <c r="E14" s="7" t="inlineStr">
        <is>
          <t>(215) 345-1527</t>
        </is>
      </c>
      <c r="F14" s="5" t="inlineStr">
        <is>
          <t>18 W State St</t>
        </is>
      </c>
      <c r="G14" s="5" t="inlineStr">
        <is>
          <t>Doylestown</t>
        </is>
      </c>
      <c r="H14" s="5" t="inlineStr">
        <is>
          <t>Bucks</t>
        </is>
      </c>
      <c r="I14" s="8" t="inlineStr">
        <is>
          <t>Not called</t>
        </is>
      </c>
      <c r="J14" s="9" t="n"/>
      <c r="K14" s="8" t="n"/>
      <c r="L14" s="9" t="n"/>
      <c r="M14" s="8" t="n"/>
      <c r="N14" s="5" t="inlineStr">
        <is>
          <t>Ask for the general manager.</t>
        </is>
      </c>
      <c r="O14" s="5" t="inlineStr">
        <is>
          <t>thinkreservations.com / aaa.com</t>
        </is>
      </c>
    </row>
    <row r="15">
      <c r="A15" s="5" t="n">
        <v>14</v>
      </c>
      <c r="B15" s="6" t="inlineStr">
        <is>
          <t>A</t>
        </is>
      </c>
      <c r="C15" s="5" t="inlineStr">
        <is>
          <t>Sand Castle Winery</t>
        </is>
      </c>
      <c r="D15" s="5" t="inlineStr">
        <is>
          <t>Winery</t>
        </is>
      </c>
      <c r="E15" s="7" t="inlineStr">
        <is>
          <t>(800) 722-9463</t>
        </is>
      </c>
      <c r="F15" s="5" t="inlineStr">
        <is>
          <t>755 River Rd</t>
        </is>
      </c>
      <c r="G15" s="5" t="inlineStr">
        <is>
          <t>Erwinna</t>
        </is>
      </c>
      <c r="H15" s="5" t="inlineStr">
        <is>
          <t>Bucks</t>
        </is>
      </c>
      <c r="I15" s="8" t="inlineStr">
        <is>
          <t>Not called</t>
        </is>
      </c>
      <c r="J15" s="9" t="n"/>
      <c r="K15" s="8" t="n"/>
      <c r="L15" s="9" t="n"/>
      <c r="M15" s="8" t="n"/>
      <c r="N15" s="5" t="inlineStr">
        <is>
          <t>Ask for the owner.</t>
        </is>
      </c>
      <c r="O15" s="5" t="inlineStr">
        <is>
          <t>visitpa.com</t>
        </is>
      </c>
    </row>
    <row r="16">
      <c r="A16" s="5" t="n">
        <v>15</v>
      </c>
      <c r="B16" s="6" t="inlineStr">
        <is>
          <t>A</t>
        </is>
      </c>
      <c r="C16" s="5" t="inlineStr">
        <is>
          <t>Bucks Crossing Shopping Center (BET Investments - Michael Markman)</t>
        </is>
      </c>
      <c r="D16" s="5" t="inlineStr">
        <is>
          <t>Shopping center</t>
        </is>
      </c>
      <c r="E16" s="7" t="inlineStr">
        <is>
          <t>(215) 938-7115</t>
        </is>
      </c>
      <c r="F16" s="5" t="inlineStr">
        <is>
          <t>Street Rd &amp; Bustleton Pike</t>
        </is>
      </c>
      <c r="G16" s="5" t="inlineStr">
        <is>
          <t>Feasterville</t>
        </is>
      </c>
      <c r="H16" s="5" t="inlineStr">
        <is>
          <t>Bucks</t>
        </is>
      </c>
      <c r="I16" s="8" t="inlineStr">
        <is>
          <t>Not called</t>
        </is>
      </c>
      <c r="J16" s="9" t="n"/>
      <c r="K16" s="8" t="n"/>
      <c r="L16" s="9" t="n"/>
      <c r="M16" s="8" t="n"/>
      <c r="N16" s="5" t="inlineStr">
        <is>
          <t>Ask who handles holiday decor for the properties. Pitch a 3-year locked rate.</t>
        </is>
      </c>
      <c r="O16" s="5" t="inlineStr">
        <is>
          <t>betinvestments.com</t>
        </is>
      </c>
    </row>
    <row r="17">
      <c r="A17" s="5" t="n">
        <v>16</v>
      </c>
      <c r="B17" s="6" t="inlineStr">
        <is>
          <t>A</t>
        </is>
      </c>
      <c r="C17" s="5" t="inlineStr">
        <is>
          <t>Jamison Grille</t>
        </is>
      </c>
      <c r="D17" s="5" t="inlineStr">
        <is>
          <t>Restaurant/bar</t>
        </is>
      </c>
      <c r="E17" s="7" t="inlineStr">
        <is>
          <t>(215) 343-0350</t>
        </is>
      </c>
      <c r="F17" s="5" t="inlineStr">
        <is>
          <t>2600 York Rd</t>
        </is>
      </c>
      <c r="G17" s="5" t="inlineStr">
        <is>
          <t>Jamison</t>
        </is>
      </c>
      <c r="H17" s="5" t="inlineStr">
        <is>
          <t>Bucks</t>
        </is>
      </c>
      <c r="I17" s="8" t="inlineStr">
        <is>
          <t>Not called</t>
        </is>
      </c>
      <c r="J17" s="9" t="n"/>
      <c r="K17" s="8" t="n"/>
      <c r="L17" s="9" t="n"/>
      <c r="M17" s="8" t="inlineStr">
        <is>
          <t>Directory listing: confirm the number on the first call.</t>
        </is>
      </c>
      <c r="N17" s="5" t="inlineStr">
        <is>
          <t>Ask for the owner or GM. Call 2-4pm, between lunch and dinner.</t>
        </is>
      </c>
      <c r="O17" s="5" t="inlineStr">
        <is>
          <t>city-data.com</t>
        </is>
      </c>
    </row>
    <row r="18">
      <c r="A18" s="5" t="n">
        <v>17</v>
      </c>
      <c r="B18" s="6" t="inlineStr">
        <is>
          <t>A</t>
        </is>
      </c>
      <c r="C18" s="5" t="inlineStr">
        <is>
          <t>Jamison Pourhouse</t>
        </is>
      </c>
      <c r="D18" s="5" t="inlineStr">
        <is>
          <t>Restaurant/bar</t>
        </is>
      </c>
      <c r="E18" s="7" t="inlineStr">
        <is>
          <t>(267) 483-5179</t>
        </is>
      </c>
      <c r="F18" s="5" t="inlineStr">
        <is>
          <t>2160 York Rd</t>
        </is>
      </c>
      <c r="G18" s="5" t="inlineStr">
        <is>
          <t>Jamison</t>
        </is>
      </c>
      <c r="H18" s="5" t="inlineStr">
        <is>
          <t>Bucks</t>
        </is>
      </c>
      <c r="I18" s="8" t="inlineStr">
        <is>
          <t>Not called</t>
        </is>
      </c>
      <c r="J18" s="9" t="n"/>
      <c r="K18" s="8" t="n"/>
      <c r="L18" s="9" t="n"/>
      <c r="M18" s="8" t="inlineStr">
        <is>
          <t>Directory listing: confirm the number on the first call.</t>
        </is>
      </c>
      <c r="N18" s="5" t="inlineStr">
        <is>
          <t>Ask for the owner or GM. Call 2-4pm, between lunch and dinner.</t>
        </is>
      </c>
      <c r="O18" s="5" t="inlineStr">
        <is>
          <t>city-data.com</t>
        </is>
      </c>
    </row>
    <row r="19">
      <c r="A19" s="5" t="n">
        <v>18</v>
      </c>
      <c r="B19" s="6" t="inlineStr">
        <is>
          <t>A</t>
        </is>
      </c>
      <c r="C19" s="5" t="inlineStr">
        <is>
          <t>Rushland Ridge Vineyards</t>
        </is>
      </c>
      <c r="D19" s="5" t="inlineStr">
        <is>
          <t>Winery</t>
        </is>
      </c>
      <c r="E19" s="7" t="inlineStr">
        <is>
          <t>(215) 598-0251</t>
        </is>
      </c>
      <c r="F19" s="5" t="inlineStr">
        <is>
          <t>2665 Rushland Rd</t>
        </is>
      </c>
      <c r="G19" s="5" t="inlineStr">
        <is>
          <t>Jamison</t>
        </is>
      </c>
      <c r="H19" s="5" t="inlineStr">
        <is>
          <t>Bucks</t>
        </is>
      </c>
      <c r="I19" s="8" t="inlineStr">
        <is>
          <t>Not called</t>
        </is>
      </c>
      <c r="J19" s="9" t="n"/>
      <c r="K19" s="8" t="n"/>
      <c r="L19" s="9" t="n"/>
      <c r="M19" s="8" t="n"/>
      <c r="N19" s="5" t="inlineStr">
        <is>
          <t>Ask for the owner.</t>
        </is>
      </c>
      <c r="O19" s="5" t="inlineStr">
        <is>
          <t>visitpa.com</t>
        </is>
      </c>
    </row>
    <row r="20">
      <c r="A20" s="5" t="n">
        <v>19</v>
      </c>
      <c r="B20" s="6" t="inlineStr">
        <is>
          <t>A</t>
        </is>
      </c>
      <c r="C20" s="5" t="inlineStr">
        <is>
          <t>Davis Acura</t>
        </is>
      </c>
      <c r="D20" s="5" t="inlineStr">
        <is>
          <t>Car dealership</t>
        </is>
      </c>
      <c r="E20" s="7" t="inlineStr">
        <is>
          <t>(267) 689-8049</t>
        </is>
      </c>
      <c r="F20" s="5" t="inlineStr">
        <is>
          <t>2051 E Lincoln Hwy</t>
        </is>
      </c>
      <c r="G20" s="5" t="inlineStr">
        <is>
          <t>Langhorne</t>
        </is>
      </c>
      <c r="H20" s="5" t="inlineStr">
        <is>
          <t>Bucks</t>
        </is>
      </c>
      <c r="I20" s="8" t="inlineStr">
        <is>
          <t>Not called</t>
        </is>
      </c>
      <c r="J20" s="9" t="n"/>
      <c r="K20" s="8" t="n"/>
      <c r="L20" s="9" t="n"/>
      <c r="M20" s="8" t="n"/>
      <c r="N20" s="5" t="inlineStr">
        <is>
          <t>Ask for the general manager. Listing-site numbers can be tracking lines that ring sales.</t>
        </is>
      </c>
      <c r="O20" s="5" t="inlineStr">
        <is>
          <t>kbb.com</t>
        </is>
      </c>
    </row>
    <row r="21">
      <c r="A21" s="5" t="n">
        <v>20</v>
      </c>
      <c r="B21" s="6" t="inlineStr">
        <is>
          <t>A</t>
        </is>
      </c>
      <c r="C21" s="5" t="inlineStr">
        <is>
          <t>Fred Beans Ford of Langhorne</t>
        </is>
      </c>
      <c r="D21" s="5" t="inlineStr">
        <is>
          <t>Car dealership</t>
        </is>
      </c>
      <c r="E21" s="7" t="inlineStr">
        <is>
          <t>(267) 930-5654</t>
        </is>
      </c>
      <c r="F21" s="5" t="inlineStr">
        <is>
          <t>1939 E Lincoln Hwy</t>
        </is>
      </c>
      <c r="G21" s="5" t="inlineStr">
        <is>
          <t>Langhorne</t>
        </is>
      </c>
      <c r="H21" s="5" t="inlineStr">
        <is>
          <t>Bucks</t>
        </is>
      </c>
      <c r="I21" s="8" t="inlineStr">
        <is>
          <t>Not called</t>
        </is>
      </c>
      <c r="J21" s="9" t="n"/>
      <c r="K21" s="8" t="n"/>
      <c r="L21" s="9" t="n"/>
      <c r="M21" s="8" t="n"/>
      <c r="N21" s="5" t="inlineStr">
        <is>
          <t>Ask for the general manager. Listing-site numbers can be tracking lines that ring sales.</t>
        </is>
      </c>
      <c r="O21" s="5" t="inlineStr">
        <is>
          <t>kbb.com</t>
        </is>
      </c>
    </row>
    <row r="22">
      <c r="A22" s="5" t="n">
        <v>21</v>
      </c>
      <c r="B22" s="6" t="inlineStr">
        <is>
          <t>A</t>
        </is>
      </c>
      <c r="C22" s="5" t="inlineStr">
        <is>
          <t>Fred Beans Kia of Langhorne</t>
        </is>
      </c>
      <c r="D22" s="5" t="inlineStr">
        <is>
          <t>Car dealership</t>
        </is>
      </c>
      <c r="E22" s="7" t="inlineStr">
        <is>
          <t>(215) 945-8001</t>
        </is>
      </c>
      <c r="F22" s="5" t="inlineStr">
        <is>
          <t>1801 E Lincoln Hwy</t>
        </is>
      </c>
      <c r="G22" s="5" t="inlineStr">
        <is>
          <t>Langhorne</t>
        </is>
      </c>
      <c r="H22" s="5" t="inlineStr">
        <is>
          <t>Bucks</t>
        </is>
      </c>
      <c r="I22" s="8" t="inlineStr">
        <is>
          <t>Not called</t>
        </is>
      </c>
      <c r="J22" s="9" t="n"/>
      <c r="K22" s="8" t="n"/>
      <c r="L22" s="9" t="n"/>
      <c r="M22" s="8" t="n"/>
      <c r="N22" s="5" t="inlineStr">
        <is>
          <t>Ask for the general manager. Listing-site numbers can be tracking lines that ring sales.</t>
        </is>
      </c>
      <c r="O22" s="5" t="inlineStr">
        <is>
          <t>kbb.com</t>
        </is>
      </c>
    </row>
    <row r="23">
      <c r="A23" s="5" t="n">
        <v>22</v>
      </c>
      <c r="B23" s="6" t="inlineStr">
        <is>
          <t>A</t>
        </is>
      </c>
      <c r="C23" s="5" t="inlineStr">
        <is>
          <t>G &amp; E Motors</t>
        </is>
      </c>
      <c r="D23" s="5" t="inlineStr">
        <is>
          <t>Car dealership</t>
        </is>
      </c>
      <c r="E23" s="7" t="inlineStr">
        <is>
          <t>(267) 560-5519</t>
        </is>
      </c>
      <c r="F23" s="5" t="inlineStr">
        <is>
          <t>451 E Lincoln Hwy</t>
        </is>
      </c>
      <c r="G23" s="5" t="inlineStr">
        <is>
          <t>Langhorne</t>
        </is>
      </c>
      <c r="H23" s="5" t="inlineStr">
        <is>
          <t>Bucks</t>
        </is>
      </c>
      <c r="I23" s="8" t="inlineStr">
        <is>
          <t>Not called</t>
        </is>
      </c>
      <c r="J23" s="9" t="n"/>
      <c r="K23" s="8" t="n"/>
      <c r="L23" s="9" t="n"/>
      <c r="M23" s="8" t="n"/>
      <c r="N23" s="5" t="inlineStr">
        <is>
          <t>Ask for the general manager. Listing-site numbers can be tracking lines that ring sales.</t>
        </is>
      </c>
      <c r="O23" s="5" t="inlineStr">
        <is>
          <t>kbb.com</t>
        </is>
      </c>
    </row>
    <row r="24">
      <c r="A24" s="5" t="n">
        <v>23</v>
      </c>
      <c r="B24" s="6" t="inlineStr">
        <is>
          <t>A</t>
        </is>
      </c>
      <c r="C24" s="5" t="inlineStr">
        <is>
          <t>JB Dawson's Restaurant &amp; Bar</t>
        </is>
      </c>
      <c r="D24" s="5" t="inlineStr">
        <is>
          <t>Restaurant/bar</t>
        </is>
      </c>
      <c r="E24" s="7" t="inlineStr">
        <is>
          <t>(215) 702-8119</t>
        </is>
      </c>
      <c r="F24" s="5" t="inlineStr">
        <is>
          <t>92 N Flowers Mill Rd</t>
        </is>
      </c>
      <c r="G24" s="5" t="inlineStr">
        <is>
          <t>Langhorne</t>
        </is>
      </c>
      <c r="H24" s="5" t="inlineStr">
        <is>
          <t>Bucks</t>
        </is>
      </c>
      <c r="I24" s="8" t="inlineStr">
        <is>
          <t>Not called</t>
        </is>
      </c>
      <c r="J24" s="9" t="n"/>
      <c r="K24" s="8" t="n"/>
      <c r="L24" s="9" t="n"/>
      <c r="M24" s="8" t="n"/>
      <c r="N24" s="5" t="inlineStr">
        <is>
          <t>Ask for the owner or GM. Call 2-4pm, between lunch and dinner.</t>
        </is>
      </c>
      <c r="O24" s="5" t="inlineStr">
        <is>
          <t>aaa.com</t>
        </is>
      </c>
    </row>
    <row r="25">
      <c r="A25" s="5" t="n">
        <v>24</v>
      </c>
      <c r="B25" s="6" t="inlineStr">
        <is>
          <t>A</t>
        </is>
      </c>
      <c r="C25" s="5" t="inlineStr">
        <is>
          <t>Team Toyota of Langhorne</t>
        </is>
      </c>
      <c r="D25" s="5" t="inlineStr">
        <is>
          <t>Car dealership</t>
        </is>
      </c>
      <c r="E25" s="7" t="inlineStr">
        <is>
          <t>(267) 817-1549</t>
        </is>
      </c>
      <c r="F25" s="5" t="inlineStr">
        <is>
          <t>746 E Lincoln Hwy</t>
        </is>
      </c>
      <c r="G25" s="5" t="inlineStr">
        <is>
          <t>Langhorne</t>
        </is>
      </c>
      <c r="H25" s="5" t="inlineStr">
        <is>
          <t>Bucks</t>
        </is>
      </c>
      <c r="I25" s="8" t="inlineStr">
        <is>
          <t>Not called</t>
        </is>
      </c>
      <c r="J25" s="9" t="n"/>
      <c r="K25" s="8" t="n"/>
      <c r="L25" s="9" t="n"/>
      <c r="M25" s="8" t="n"/>
      <c r="N25" s="5" t="inlineStr">
        <is>
          <t>Ask for the general manager. Listing-site numbers can be tracking lines that ring sales.</t>
        </is>
      </c>
      <c r="O25" s="5" t="inlineStr">
        <is>
          <t>kbb.com</t>
        </is>
      </c>
    </row>
    <row r="26">
      <c r="A26" s="5" t="n">
        <v>25</v>
      </c>
      <c r="B26" s="6" t="inlineStr">
        <is>
          <t>A</t>
        </is>
      </c>
      <c r="C26" s="5" t="inlineStr">
        <is>
          <t>Levittown Auto</t>
        </is>
      </c>
      <c r="D26" s="5" t="inlineStr">
        <is>
          <t>Car dealership</t>
        </is>
      </c>
      <c r="E26" s="7" t="inlineStr">
        <is>
          <t>(215) 547-9494</t>
        </is>
      </c>
      <c r="F26" s="5" t="inlineStr">
        <is>
          <t>4033 New Rodgers Rd</t>
        </is>
      </c>
      <c r="G26" s="5" t="inlineStr">
        <is>
          <t>Levittown</t>
        </is>
      </c>
      <c r="H26" s="5" t="inlineStr">
        <is>
          <t>Bucks</t>
        </is>
      </c>
      <c r="I26" s="8" t="inlineStr">
        <is>
          <t>Not called</t>
        </is>
      </c>
      <c r="J26" s="9" t="n"/>
      <c r="K26" s="8" t="n"/>
      <c r="L26" s="9" t="n"/>
      <c r="M26" s="8" t="n"/>
      <c r="N26" s="5" t="inlineStr">
        <is>
          <t>Ask for the general manager. Listing-site numbers can be tracking lines that ring sales.</t>
        </is>
      </c>
      <c r="O26" s="5" t="inlineStr">
        <is>
          <t>kbb.com</t>
        </is>
      </c>
    </row>
    <row r="27">
      <c r="A27" s="5" t="n">
        <v>26</v>
      </c>
      <c r="B27" s="6" t="inlineStr">
        <is>
          <t>A</t>
        </is>
      </c>
      <c r="C27" s="5" t="inlineStr">
        <is>
          <t>Centre Bridge Inn</t>
        </is>
      </c>
      <c r="D27" s="5" t="inlineStr">
        <is>
          <t>Hotel/restaurant</t>
        </is>
      </c>
      <c r="E27" s="7" t="inlineStr">
        <is>
          <t>(215) 862-9139</t>
        </is>
      </c>
      <c r="F27" s="5" t="inlineStr">
        <is>
          <t>2998 N River Rd</t>
        </is>
      </c>
      <c r="G27" s="5" t="inlineStr">
        <is>
          <t>New Hope</t>
        </is>
      </c>
      <c r="H27" s="5" t="inlineStr">
        <is>
          <t>Bucks</t>
        </is>
      </c>
      <c r="I27" s="8" t="inlineStr">
        <is>
          <t>Not called</t>
        </is>
      </c>
      <c r="J27" s="9" t="n"/>
      <c r="K27" s="8" t="n"/>
      <c r="L27" s="9" t="n"/>
      <c r="M27" s="8" t="n"/>
      <c r="N27" s="5" t="inlineStr">
        <is>
          <t>Ask for the general manager.</t>
        </is>
      </c>
      <c r="O27" s="5" t="inlineStr">
        <is>
          <t>successfulmeetings.com</t>
        </is>
      </c>
    </row>
    <row r="28">
      <c r="A28" s="5" t="n">
        <v>27</v>
      </c>
      <c r="B28" s="6" t="inlineStr">
        <is>
          <t>A</t>
        </is>
      </c>
      <c r="C28" s="5" t="inlineStr">
        <is>
          <t>GreenHouse New Hope</t>
        </is>
      </c>
      <c r="D28" s="5" t="inlineStr">
        <is>
          <t>Restaurant/bar</t>
        </is>
      </c>
      <c r="E28" s="7" t="inlineStr">
        <is>
          <t>(215) 693-1657</t>
        </is>
      </c>
      <c r="F28" s="5" t="inlineStr">
        <is>
          <t>90 S Main St</t>
        </is>
      </c>
      <c r="G28" s="5" t="inlineStr">
        <is>
          <t>New Hope</t>
        </is>
      </c>
      <c r="H28" s="5" t="inlineStr">
        <is>
          <t>Bucks</t>
        </is>
      </c>
      <c r="I28" s="8" t="inlineStr">
        <is>
          <t>Not called</t>
        </is>
      </c>
      <c r="J28" s="9" t="n"/>
      <c r="K28" s="8" t="n"/>
      <c r="L28" s="9" t="n"/>
      <c r="M28" s="8" t="n"/>
      <c r="N28" s="5" t="inlineStr">
        <is>
          <t>Ask for the owner or GM. Call 2-4pm, between lunch and dinner.</t>
        </is>
      </c>
      <c r="O28" s="5" t="inlineStr">
        <is>
          <t>aaa.com</t>
        </is>
      </c>
    </row>
    <row r="29">
      <c r="A29" s="5" t="n">
        <v>28</v>
      </c>
      <c r="B29" s="6" t="inlineStr">
        <is>
          <t>A</t>
        </is>
      </c>
      <c r="C29" s="5" t="inlineStr">
        <is>
          <t>Hotel du Village</t>
        </is>
      </c>
      <c r="D29" s="5" t="inlineStr">
        <is>
          <t>Hotel/restaurant</t>
        </is>
      </c>
      <c r="E29" s="7" t="inlineStr">
        <is>
          <t>(215) 330-2700</t>
        </is>
      </c>
      <c r="F29" s="5" t="inlineStr">
        <is>
          <t>2535 River Rd</t>
        </is>
      </c>
      <c r="G29" s="5" t="inlineStr">
        <is>
          <t>New Hope</t>
        </is>
      </c>
      <c r="H29" s="5" t="inlineStr">
        <is>
          <t>Bucks</t>
        </is>
      </c>
      <c r="I29" s="8" t="inlineStr">
        <is>
          <t>Not called</t>
        </is>
      </c>
      <c r="J29" s="9" t="n"/>
      <c r="K29" s="8" t="n"/>
      <c r="L29" s="9" t="n"/>
      <c r="M29" s="8" t="n"/>
      <c r="N29" s="5" t="inlineStr">
        <is>
          <t>Ask for the general manager.</t>
        </is>
      </c>
      <c r="O29" s="5" t="inlineStr">
        <is>
          <t>meetings-conventions.com</t>
        </is>
      </c>
    </row>
    <row r="30">
      <c r="A30" s="5" t="n">
        <v>29</v>
      </c>
      <c r="B30" s="6" t="inlineStr">
        <is>
          <t>A</t>
        </is>
      </c>
      <c r="C30" s="5" t="inlineStr">
        <is>
          <t>John and Peter's Place</t>
        </is>
      </c>
      <c r="D30" s="5" t="inlineStr">
        <is>
          <t>Bar/music venue</t>
        </is>
      </c>
      <c r="E30" s="7" t="inlineStr">
        <is>
          <t>(215) 862-5981</t>
        </is>
      </c>
      <c r="F30" s="5" t="inlineStr">
        <is>
          <t>96 S Main St</t>
        </is>
      </c>
      <c r="G30" s="5" t="inlineStr">
        <is>
          <t>New Hope</t>
        </is>
      </c>
      <c r="H30" s="5" t="inlineStr">
        <is>
          <t>Bucks</t>
        </is>
      </c>
      <c r="I30" s="8" t="inlineStr">
        <is>
          <t>Not called</t>
        </is>
      </c>
      <c r="J30" s="9" t="n"/>
      <c r="K30" s="8" t="n"/>
      <c r="L30" s="9" t="n"/>
      <c r="M30" s="8" t="n"/>
      <c r="N30" s="5" t="inlineStr">
        <is>
          <t>Ask for the owner or GM. Call 2-4pm, between lunch and dinner.</t>
        </is>
      </c>
      <c r="O30" s="5" t="inlineStr">
        <is>
          <t>explorepahistory.com</t>
        </is>
      </c>
    </row>
    <row r="31">
      <c r="A31" s="5" t="n">
        <v>30</v>
      </c>
      <c r="B31" s="6" t="inlineStr">
        <is>
          <t>A</t>
        </is>
      </c>
      <c r="C31" s="5" t="inlineStr">
        <is>
          <t>Logan Inn</t>
        </is>
      </c>
      <c r="D31" s="5" t="inlineStr">
        <is>
          <t>Hotel/restaurant</t>
        </is>
      </c>
      <c r="E31" s="7" t="inlineStr">
        <is>
          <t>(215) 862-2300</t>
        </is>
      </c>
      <c r="F31" s="5" t="inlineStr">
        <is>
          <t>10 W Ferry St</t>
        </is>
      </c>
      <c r="G31" s="5" t="inlineStr">
        <is>
          <t>New Hope</t>
        </is>
      </c>
      <c r="H31" s="5" t="inlineStr">
        <is>
          <t>Bucks</t>
        </is>
      </c>
      <c r="I31" s="8" t="inlineStr">
        <is>
          <t>Not called</t>
        </is>
      </c>
      <c r="J31" s="9" t="n"/>
      <c r="K31" s="8" t="n"/>
      <c r="L31" s="9" t="n"/>
      <c r="M31" s="8" t="n"/>
      <c r="N31" s="5" t="inlineStr">
        <is>
          <t>Ask for the general manager.</t>
        </is>
      </c>
      <c r="O31" s="5" t="inlineStr">
        <is>
          <t>northstarmeetingsgroup.com</t>
        </is>
      </c>
    </row>
    <row r="32">
      <c r="A32" s="5" t="n">
        <v>31</v>
      </c>
      <c r="B32" s="6" t="inlineStr">
        <is>
          <t>A</t>
        </is>
      </c>
      <c r="C32" s="5" t="inlineStr">
        <is>
          <t>Maddy Rose</t>
        </is>
      </c>
      <c r="D32" s="5" t="inlineStr">
        <is>
          <t>Restaurant/bar</t>
        </is>
      </c>
      <c r="E32" s="7" t="inlineStr">
        <is>
          <t>(215) 862-5711</t>
        </is>
      </c>
      <c r="F32" s="5" t="inlineStr">
        <is>
          <t>22 N Main St</t>
        </is>
      </c>
      <c r="G32" s="5" t="inlineStr">
        <is>
          <t>New Hope</t>
        </is>
      </c>
      <c r="H32" s="5" t="inlineStr">
        <is>
          <t>Bucks</t>
        </is>
      </c>
      <c r="I32" s="8" t="inlineStr">
        <is>
          <t>Not called</t>
        </is>
      </c>
      <c r="J32" s="9" t="n"/>
      <c r="K32" s="8" t="n"/>
      <c r="L32" s="9" t="n"/>
      <c r="M32" s="8" t="n"/>
      <c r="N32" s="5" t="inlineStr">
        <is>
          <t>Ask for the owner or GM. Call 2-4pm, between lunch and dinner.</t>
        </is>
      </c>
      <c r="O32" s="5" t="inlineStr">
        <is>
          <t>aaa.com</t>
        </is>
      </c>
    </row>
    <row r="33">
      <c r="A33" s="5" t="n">
        <v>32</v>
      </c>
      <c r="B33" s="6" t="inlineStr">
        <is>
          <t>A</t>
        </is>
      </c>
      <c r="C33" s="5" t="inlineStr">
        <is>
          <t>New Hope Inn and Suites</t>
        </is>
      </c>
      <c r="D33" s="5" t="inlineStr">
        <is>
          <t>Hotel</t>
        </is>
      </c>
      <c r="E33" s="7" t="inlineStr">
        <is>
          <t>(215) 862-5221</t>
        </is>
      </c>
      <c r="F33" s="5" t="inlineStr">
        <is>
          <t>6426 Lower York Rd</t>
        </is>
      </c>
      <c r="G33" s="5" t="inlineStr">
        <is>
          <t>New Hope</t>
        </is>
      </c>
      <c r="H33" s="5" t="inlineStr">
        <is>
          <t>Bucks</t>
        </is>
      </c>
      <c r="I33" s="8" t="inlineStr">
        <is>
          <t>Not called</t>
        </is>
      </c>
      <c r="J33" s="9" t="n"/>
      <c r="K33" s="8" t="n"/>
      <c r="L33" s="9" t="n"/>
      <c r="M33" s="8" t="n"/>
      <c r="N33" s="5" t="inlineStr">
        <is>
          <t>Ask for the general manager.</t>
        </is>
      </c>
      <c r="O33" s="5" t="inlineStr">
        <is>
          <t>successfulmeetings.com</t>
        </is>
      </c>
    </row>
    <row r="34">
      <c r="A34" s="5" t="n">
        <v>33</v>
      </c>
      <c r="B34" s="6" t="inlineStr">
        <is>
          <t>A</t>
        </is>
      </c>
      <c r="C34" s="5" t="inlineStr">
        <is>
          <t>The Mansion Inn</t>
        </is>
      </c>
      <c r="D34" s="5" t="inlineStr">
        <is>
          <t>Hotel</t>
        </is>
      </c>
      <c r="E34" s="7" t="inlineStr">
        <is>
          <t>(215) 693-1800</t>
        </is>
      </c>
      <c r="F34" s="5" t="inlineStr">
        <is>
          <t>9 S Main St</t>
        </is>
      </c>
      <c r="G34" s="5" t="inlineStr">
        <is>
          <t>New Hope</t>
        </is>
      </c>
      <c r="H34" s="5" t="inlineStr">
        <is>
          <t>Bucks</t>
        </is>
      </c>
      <c r="I34" s="8" t="inlineStr">
        <is>
          <t>Not called</t>
        </is>
      </c>
      <c r="J34" s="9" t="n"/>
      <c r="K34" s="8" t="n"/>
      <c r="L34" s="9" t="n"/>
      <c r="M34" s="8" t="n"/>
      <c r="N34" s="5" t="inlineStr">
        <is>
          <t>Ask for the general manager.</t>
        </is>
      </c>
      <c r="O34" s="5" t="inlineStr">
        <is>
          <t>successfulmeetings.com</t>
        </is>
      </c>
    </row>
    <row r="35">
      <c r="A35" s="5" t="n">
        <v>34</v>
      </c>
      <c r="B35" s="6" t="inlineStr">
        <is>
          <t>A</t>
        </is>
      </c>
      <c r="C35" s="5" t="inlineStr">
        <is>
          <t>Bill Marsh Ford / Fred Beans Ford of Newtown</t>
        </is>
      </c>
      <c r="D35" s="5" t="inlineStr">
        <is>
          <t>Car dealership</t>
        </is>
      </c>
      <c r="E35" s="7" t="inlineStr">
        <is>
          <t>(215) 968-3806</t>
        </is>
      </c>
      <c r="F35" s="5" t="inlineStr">
        <is>
          <t>10 N Sycamore St</t>
        </is>
      </c>
      <c r="G35" s="5" t="inlineStr">
        <is>
          <t>Newtown</t>
        </is>
      </c>
      <c r="H35" s="5" t="inlineStr">
        <is>
          <t>Bucks</t>
        </is>
      </c>
      <c r="I35" s="8" t="inlineStr">
        <is>
          <t>Not called</t>
        </is>
      </c>
      <c r="J35" s="9" t="n"/>
      <c r="K35" s="8" t="n"/>
      <c r="L35" s="9" t="n"/>
      <c r="M35" s="8" t="n"/>
      <c r="N35" s="5" t="inlineStr">
        <is>
          <t>Ask for the general manager. Listing-site numbers can be tracking lines that ring sales.</t>
        </is>
      </c>
      <c r="O35" s="5" t="inlineStr">
        <is>
          <t>ophelia.sdsu.edu dealer directory; caredge.com lists (855) 818-3875</t>
        </is>
      </c>
    </row>
    <row r="36">
      <c r="A36" s="5" t="n">
        <v>35</v>
      </c>
      <c r="B36" s="6" t="inlineStr">
        <is>
          <t>A</t>
        </is>
      </c>
      <c r="C36" s="5" t="inlineStr">
        <is>
          <t>Black Horse Tavern</t>
        </is>
      </c>
      <c r="D36" s="5" t="inlineStr">
        <is>
          <t>Restaurant/bar</t>
        </is>
      </c>
      <c r="E36" s="7" t="inlineStr">
        <is>
          <t>(215) 579-6152</t>
        </is>
      </c>
      <c r="F36" s="5" t="inlineStr">
        <is>
          <t>101 S State St</t>
        </is>
      </c>
      <c r="G36" s="5" t="inlineStr">
        <is>
          <t>Newtown</t>
        </is>
      </c>
      <c r="H36" s="5" t="inlineStr">
        <is>
          <t>Bucks</t>
        </is>
      </c>
      <c r="I36" s="8" t="inlineStr">
        <is>
          <t>Not called</t>
        </is>
      </c>
      <c r="J36" s="9" t="n"/>
      <c r="K36" s="8" t="n"/>
      <c r="L36" s="9" t="n"/>
      <c r="M36" s="8" t="inlineStr">
        <is>
          <t>Directory listing: confirm the number on the first call.</t>
        </is>
      </c>
      <c r="N36" s="5" t="inlineStr">
        <is>
          <t>Ask for the owner or GM. Call 2-4pm, between lunch and dinner.</t>
        </is>
      </c>
      <c r="O36" s="5" t="inlineStr">
        <is>
          <t>city-data.com</t>
        </is>
      </c>
    </row>
    <row r="37">
      <c r="A37" s="5" t="n">
        <v>36</v>
      </c>
      <c r="B37" s="6" t="inlineStr">
        <is>
          <t>A</t>
        </is>
      </c>
      <c r="C37" s="5" t="inlineStr">
        <is>
          <t>Crossing Vineyards and Winery</t>
        </is>
      </c>
      <c r="D37" s="5" t="inlineStr">
        <is>
          <t>Winery</t>
        </is>
      </c>
      <c r="E37" s="7" t="inlineStr">
        <is>
          <t>(215) 493-6500</t>
        </is>
      </c>
      <c r="F37" s="5" t="inlineStr">
        <is>
          <t>1853 Wrightstown Rd</t>
        </is>
      </c>
      <c r="G37" s="5" t="inlineStr">
        <is>
          <t>Newtown</t>
        </is>
      </c>
      <c r="H37" s="5" t="inlineStr">
        <is>
          <t>Bucks</t>
        </is>
      </c>
      <c r="I37" s="8" t="inlineStr">
        <is>
          <t>Not called</t>
        </is>
      </c>
      <c r="J37" s="9" t="n"/>
      <c r="K37" s="8" t="n"/>
      <c r="L37" s="9" t="n"/>
      <c r="M37" s="8" t="n"/>
      <c r="N37" s="5" t="inlineStr">
        <is>
          <t>Ask for the owner.</t>
        </is>
      </c>
      <c r="O37" s="5" t="inlineStr">
        <is>
          <t>visitpa.com</t>
        </is>
      </c>
    </row>
    <row r="38">
      <c r="A38" s="5" t="n">
        <v>37</v>
      </c>
      <c r="B38" s="6" t="inlineStr">
        <is>
          <t>A</t>
        </is>
      </c>
      <c r="C38" s="5" t="inlineStr">
        <is>
          <t>Ferino Bros Auto Sales</t>
        </is>
      </c>
      <c r="D38" s="5" t="inlineStr">
        <is>
          <t>Car dealership</t>
        </is>
      </c>
      <c r="E38" s="7" t="inlineStr">
        <is>
          <t>(215) 918-7548</t>
        </is>
      </c>
      <c r="F38" s="5" t="inlineStr"/>
      <c r="G38" s="5" t="inlineStr">
        <is>
          <t>Newtown</t>
        </is>
      </c>
      <c r="H38" s="5" t="inlineStr">
        <is>
          <t>Bucks</t>
        </is>
      </c>
      <c r="I38" s="8" t="inlineStr">
        <is>
          <t>Not called</t>
        </is>
      </c>
      <c r="J38" s="9" t="n"/>
      <c r="K38" s="8" t="n"/>
      <c r="L38" s="9" t="n"/>
      <c r="M38" s="8" t="n"/>
      <c r="N38" s="5" t="inlineStr">
        <is>
          <t>Ask for the general manager. Listing-site numbers can be tracking lines that ring sales.</t>
        </is>
      </c>
      <c r="O38" s="5" t="inlineStr">
        <is>
          <t>caredge.com</t>
        </is>
      </c>
    </row>
    <row r="39">
      <c r="A39" s="5" t="n">
        <v>38</v>
      </c>
      <c r="B39" s="6" t="inlineStr">
        <is>
          <t>A</t>
        </is>
      </c>
      <c r="C39" s="5" t="inlineStr">
        <is>
          <t>Relic on State Street</t>
        </is>
      </c>
      <c r="D39" s="5" t="inlineStr">
        <is>
          <t>Restaurant/bar</t>
        </is>
      </c>
      <c r="E39" s="7" t="inlineStr">
        <is>
          <t>(267) 759-6641</t>
        </is>
      </c>
      <c r="F39" s="5" t="inlineStr">
        <is>
          <t>101 S State St</t>
        </is>
      </c>
      <c r="G39" s="5" t="inlineStr">
        <is>
          <t>Newtown</t>
        </is>
      </c>
      <c r="H39" s="5" t="inlineStr">
        <is>
          <t>Bucks</t>
        </is>
      </c>
      <c r="I39" s="8" t="inlineStr">
        <is>
          <t>Not called</t>
        </is>
      </c>
      <c r="J39" s="9" t="n"/>
      <c r="K39" s="8" t="n"/>
      <c r="L39" s="9" t="n"/>
      <c r="M39" s="8" t="n"/>
      <c r="N39" s="5" t="inlineStr">
        <is>
          <t>Ask for the owner or GM. Call 2-4pm, between lunch and dinner.</t>
        </is>
      </c>
      <c r="O39" s="5" t="inlineStr">
        <is>
          <t>aaa.com</t>
        </is>
      </c>
    </row>
    <row r="40">
      <c r="A40" s="5" t="n">
        <v>39</v>
      </c>
      <c r="B40" s="6" t="inlineStr">
        <is>
          <t>A</t>
        </is>
      </c>
      <c r="C40" s="5" t="inlineStr">
        <is>
          <t>Rose Bank Winery</t>
        </is>
      </c>
      <c r="D40" s="5" t="inlineStr">
        <is>
          <t>Winery</t>
        </is>
      </c>
      <c r="E40" s="7" t="inlineStr">
        <is>
          <t>(215) 860-5899</t>
        </is>
      </c>
      <c r="F40" s="5" t="inlineStr">
        <is>
          <t>258 Durham Rd (Rt 413)</t>
        </is>
      </c>
      <c r="G40" s="5" t="inlineStr">
        <is>
          <t>Newtown</t>
        </is>
      </c>
      <c r="H40" s="5" t="inlineStr">
        <is>
          <t>Bucks</t>
        </is>
      </c>
      <c r="I40" s="8" t="inlineStr">
        <is>
          <t>Not called</t>
        </is>
      </c>
      <c r="J40" s="9" t="n"/>
      <c r="K40" s="8" t="n"/>
      <c r="L40" s="9" t="n"/>
      <c r="M40" s="8" t="n"/>
      <c r="N40" s="5" t="inlineStr">
        <is>
          <t>Ask for the owner.</t>
        </is>
      </c>
      <c r="O40" s="5" t="inlineStr">
        <is>
          <t>visitpa.com</t>
        </is>
      </c>
    </row>
    <row r="41">
      <c r="A41" s="5" t="n">
        <v>40</v>
      </c>
      <c r="B41" s="6" t="inlineStr">
        <is>
          <t>A</t>
        </is>
      </c>
      <c r="C41" s="5" t="inlineStr">
        <is>
          <t>Bishop Estate Vineyard and Winery</t>
        </is>
      </c>
      <c r="D41" s="5" t="inlineStr">
        <is>
          <t>Winery</t>
        </is>
      </c>
      <c r="E41" s="7" t="inlineStr">
        <is>
          <t>(215) 249-3559</t>
        </is>
      </c>
      <c r="F41" s="5" t="inlineStr">
        <is>
          <t>2730 Hilltown Pike</t>
        </is>
      </c>
      <c r="G41" s="5" t="inlineStr">
        <is>
          <t>Perkasie</t>
        </is>
      </c>
      <c r="H41" s="5" t="inlineStr">
        <is>
          <t>Bucks</t>
        </is>
      </c>
      <c r="I41" s="8" t="inlineStr">
        <is>
          <t>Not called</t>
        </is>
      </c>
      <c r="J41" s="9" t="n"/>
      <c r="K41" s="8" t="n"/>
      <c r="L41" s="9" t="n"/>
      <c r="M41" s="8" t="n"/>
      <c r="N41" s="5" t="inlineStr">
        <is>
          <t>Ask for the owner.</t>
        </is>
      </c>
      <c r="O41" s="5" t="inlineStr">
        <is>
          <t>visitpa.com</t>
        </is>
      </c>
    </row>
    <row r="42">
      <c r="A42" s="5" t="n">
        <v>41</v>
      </c>
      <c r="B42" s="6" t="inlineStr">
        <is>
          <t>A</t>
        </is>
      </c>
      <c r="C42" s="5" t="inlineStr">
        <is>
          <t>Free Will Brewing Co.</t>
        </is>
      </c>
      <c r="D42" s="5" t="inlineStr">
        <is>
          <t>Brewery/taproom</t>
        </is>
      </c>
      <c r="E42" s="7" t="inlineStr">
        <is>
          <t>(267) 354-0813</t>
        </is>
      </c>
      <c r="F42" s="5" t="inlineStr">
        <is>
          <t>410 E Walnut St</t>
        </is>
      </c>
      <c r="G42" s="5" t="inlineStr">
        <is>
          <t>Perkasie</t>
        </is>
      </c>
      <c r="H42" s="5" t="inlineStr">
        <is>
          <t>Bucks</t>
        </is>
      </c>
      <c r="I42" s="8" t="inlineStr">
        <is>
          <t>Not called</t>
        </is>
      </c>
      <c r="J42" s="9" t="n"/>
      <c r="K42" s="8" t="n"/>
      <c r="L42" s="9" t="n"/>
      <c r="M42" s="8" t="n"/>
      <c r="N42" s="5" t="inlineStr">
        <is>
          <t>Ask for the owner or GM. Call 2-4pm, between lunch and dinner.</t>
        </is>
      </c>
      <c r="O42" s="5" t="inlineStr">
        <is>
          <t>visitpa.com</t>
        </is>
      </c>
    </row>
    <row r="43">
      <c r="A43" s="5" t="n">
        <v>42</v>
      </c>
      <c r="B43" s="6" t="inlineStr">
        <is>
          <t>A</t>
        </is>
      </c>
      <c r="C43" s="5" t="inlineStr">
        <is>
          <t>Bucks County Brewery</t>
        </is>
      </c>
      <c r="D43" s="5" t="inlineStr">
        <is>
          <t>Brewery</t>
        </is>
      </c>
      <c r="E43" s="7" t="inlineStr">
        <is>
          <t>(609) 439-2468</t>
        </is>
      </c>
      <c r="F43" s="5" t="inlineStr">
        <is>
          <t>31 Appletree Ln</t>
        </is>
      </c>
      <c r="G43" s="5" t="inlineStr">
        <is>
          <t>Pipersville</t>
        </is>
      </c>
      <c r="H43" s="5" t="inlineStr">
        <is>
          <t>Bucks</t>
        </is>
      </c>
      <c r="I43" s="8" t="inlineStr">
        <is>
          <t>Not called</t>
        </is>
      </c>
      <c r="J43" s="9" t="n"/>
      <c r="K43" s="8" t="n"/>
      <c r="L43" s="9" t="n"/>
      <c r="M43" s="8" t="n"/>
      <c r="N43" s="5" t="inlineStr">
        <is>
          <t>Ask for the owner or GM. Call 2-4pm, between lunch and dinner.</t>
        </is>
      </c>
      <c r="O43" s="5" t="inlineStr">
        <is>
          <t>visitpa.com</t>
        </is>
      </c>
    </row>
    <row r="44">
      <c r="A44" s="5" t="n">
        <v>43</v>
      </c>
      <c r="B44" s="6" t="inlineStr">
        <is>
          <t>A</t>
        </is>
      </c>
      <c r="C44" s="5" t="inlineStr">
        <is>
          <t>Grain Craft Bar + Kitchen</t>
        </is>
      </c>
      <c r="D44" s="5" t="inlineStr">
        <is>
          <t>Restaurant/bar</t>
        </is>
      </c>
      <c r="E44" s="7" t="inlineStr">
        <is>
          <t>(215) 538-7001</t>
        </is>
      </c>
      <c r="F44" s="5" t="inlineStr">
        <is>
          <t>225 W Broad St</t>
        </is>
      </c>
      <c r="G44" s="5" t="inlineStr">
        <is>
          <t>Quakertown</t>
        </is>
      </c>
      <c r="H44" s="5" t="inlineStr">
        <is>
          <t>Bucks</t>
        </is>
      </c>
      <c r="I44" s="8" t="inlineStr">
        <is>
          <t>Not called</t>
        </is>
      </c>
      <c r="J44" s="9" t="n"/>
      <c r="K44" s="8" t="n"/>
      <c r="L44" s="9" t="n"/>
      <c r="M44" s="8" t="n"/>
      <c r="N44" s="5" t="inlineStr">
        <is>
          <t>Ask for the owner or GM. Call 2-4pm, between lunch and dinner.</t>
        </is>
      </c>
      <c r="O44" s="5" t="inlineStr">
        <is>
          <t>quakertown.org</t>
        </is>
      </c>
    </row>
    <row r="45">
      <c r="A45" s="5" t="n">
        <v>44</v>
      </c>
      <c r="B45" s="6" t="inlineStr">
        <is>
          <t>A</t>
        </is>
      </c>
      <c r="C45" s="5" t="inlineStr">
        <is>
          <t>Sands Chrysler Jeep Dodge Ram</t>
        </is>
      </c>
      <c r="D45" s="5" t="inlineStr">
        <is>
          <t>Car dealership</t>
        </is>
      </c>
      <c r="E45" s="7" t="inlineStr">
        <is>
          <t>(267) 875-2026</t>
        </is>
      </c>
      <c r="F45" s="5" t="inlineStr">
        <is>
          <t>501 N West End Blvd</t>
        </is>
      </c>
      <c r="G45" s="5" t="inlineStr">
        <is>
          <t>Quakertown</t>
        </is>
      </c>
      <c r="H45" s="5" t="inlineStr">
        <is>
          <t>Bucks</t>
        </is>
      </c>
      <c r="I45" s="8" t="inlineStr">
        <is>
          <t>Not called</t>
        </is>
      </c>
      <c r="J45" s="9" t="n"/>
      <c r="K45" s="8" t="n"/>
      <c r="L45" s="9" t="n"/>
      <c r="M45" s="8" t="n"/>
      <c r="N45" s="5" t="inlineStr">
        <is>
          <t>Ask for the general manager. Listing-site numbers can be tracking lines that ring sales.</t>
        </is>
      </c>
      <c r="O45" s="5" t="inlineStr">
        <is>
          <t>kbb.com</t>
        </is>
      </c>
    </row>
    <row r="46">
      <c r="A46" s="5" t="n">
        <v>45</v>
      </c>
      <c r="B46" s="6" t="inlineStr">
        <is>
          <t>A</t>
        </is>
      </c>
      <c r="C46" s="5" t="inlineStr">
        <is>
          <t>Vino By Zzino</t>
        </is>
      </c>
      <c r="D46" s="5" t="inlineStr">
        <is>
          <t>Winery</t>
        </is>
      </c>
      <c r="E46" s="7" t="inlineStr">
        <is>
          <t>(610) 349-6311</t>
        </is>
      </c>
      <c r="F46" s="5" t="inlineStr">
        <is>
          <t>1410 Fels Rd</t>
        </is>
      </c>
      <c r="G46" s="5" t="inlineStr">
        <is>
          <t>Quakertown</t>
        </is>
      </c>
      <c r="H46" s="5" t="inlineStr">
        <is>
          <t>Bucks</t>
        </is>
      </c>
      <c r="I46" s="8" t="inlineStr">
        <is>
          <t>Not called</t>
        </is>
      </c>
      <c r="J46" s="9" t="n"/>
      <c r="K46" s="8" t="n"/>
      <c r="L46" s="9" t="n"/>
      <c r="M46" s="8" t="n"/>
      <c r="N46" s="5" t="inlineStr">
        <is>
          <t>Ask for the owner.</t>
        </is>
      </c>
      <c r="O46" s="5" t="inlineStr">
        <is>
          <t>visitpa.com</t>
        </is>
      </c>
    </row>
    <row r="47">
      <c r="A47" s="5" t="n">
        <v>46</v>
      </c>
      <c r="B47" s="6" t="inlineStr">
        <is>
          <t>A</t>
        </is>
      </c>
      <c r="C47" s="5" t="inlineStr">
        <is>
          <t>Dom's Lounge</t>
        </is>
      </c>
      <c r="D47" s="5" t="inlineStr">
        <is>
          <t>Bar</t>
        </is>
      </c>
      <c r="E47" s="7" t="inlineStr">
        <is>
          <t>(215) 322-2366</t>
        </is>
      </c>
      <c r="F47" s="5" t="inlineStr">
        <is>
          <t>1055 2nd Street Pike</t>
        </is>
      </c>
      <c r="G47" s="5" t="inlineStr">
        <is>
          <t>Richboro</t>
        </is>
      </c>
      <c r="H47" s="5" t="inlineStr">
        <is>
          <t>Bucks</t>
        </is>
      </c>
      <c r="I47" s="8" t="inlineStr">
        <is>
          <t>Not called</t>
        </is>
      </c>
      <c r="J47" s="9" t="n"/>
      <c r="K47" s="8" t="n"/>
      <c r="L47" s="9" t="n"/>
      <c r="M47" s="8" t="inlineStr">
        <is>
          <t>Directory listing: confirm the number on the first call.</t>
        </is>
      </c>
      <c r="N47" s="5" t="inlineStr">
        <is>
          <t>Ask for the owner or GM. Call 2-4pm, between lunch and dinner.</t>
        </is>
      </c>
      <c r="O47" s="5" t="inlineStr">
        <is>
          <t>city-data.com</t>
        </is>
      </c>
    </row>
    <row r="48">
      <c r="A48" s="5" t="n">
        <v>47</v>
      </c>
      <c r="B48" s="6" t="inlineStr">
        <is>
          <t>A</t>
        </is>
      </c>
      <c r="C48" s="5" t="inlineStr">
        <is>
          <t>O'Neil GMC</t>
        </is>
      </c>
      <c r="D48" s="5" t="inlineStr">
        <is>
          <t>Car dealership</t>
        </is>
      </c>
      <c r="E48" s="7" t="inlineStr">
        <is>
          <t>(267) 961-7290</t>
        </is>
      </c>
      <c r="F48" s="5" t="inlineStr">
        <is>
          <t>869 W Street Rd</t>
        </is>
      </c>
      <c r="G48" s="5" t="inlineStr">
        <is>
          <t>Warminster</t>
        </is>
      </c>
      <c r="H48" s="5" t="inlineStr">
        <is>
          <t>Bucks</t>
        </is>
      </c>
      <c r="I48" s="8" t="inlineStr">
        <is>
          <t>Not called</t>
        </is>
      </c>
      <c r="J48" s="9" t="n"/>
      <c r="K48" s="8" t="n"/>
      <c r="L48" s="9" t="n"/>
      <c r="M48" s="8" t="n"/>
      <c r="N48" s="5" t="inlineStr">
        <is>
          <t>Ask for the general manager. Listing-site numbers can be tracking lines that ring sales.</t>
        </is>
      </c>
      <c r="O48" s="5" t="inlineStr">
        <is>
          <t>kbb.com</t>
        </is>
      </c>
    </row>
    <row r="49">
      <c r="A49" s="5" t="n">
        <v>48</v>
      </c>
      <c r="B49" s="6" t="inlineStr">
        <is>
          <t>A</t>
        </is>
      </c>
      <c r="C49" s="5" t="inlineStr">
        <is>
          <t>O'Neil Nissan</t>
        </is>
      </c>
      <c r="D49" s="5" t="inlineStr">
        <is>
          <t>Car dealership</t>
        </is>
      </c>
      <c r="E49" s="7" t="inlineStr">
        <is>
          <t>(267) 855-2225</t>
        </is>
      </c>
      <c r="F49" s="5" t="inlineStr">
        <is>
          <t>849 W Street Rd</t>
        </is>
      </c>
      <c r="G49" s="5" t="inlineStr">
        <is>
          <t>Warminster</t>
        </is>
      </c>
      <c r="H49" s="5" t="inlineStr">
        <is>
          <t>Bucks</t>
        </is>
      </c>
      <c r="I49" s="8" t="inlineStr">
        <is>
          <t>Not called</t>
        </is>
      </c>
      <c r="J49" s="9" t="n"/>
      <c r="K49" s="8" t="n"/>
      <c r="L49" s="9" t="n"/>
      <c r="M49" s="8" t="n"/>
      <c r="N49" s="5" t="inlineStr">
        <is>
          <t>Ask for the general manager. Listing-site numbers can be tracking lines that ring sales.</t>
        </is>
      </c>
      <c r="O49" s="5" t="inlineStr">
        <is>
          <t>kbb.com</t>
        </is>
      </c>
    </row>
    <row r="50">
      <c r="A50" s="5" t="n">
        <v>49</v>
      </c>
      <c r="B50" s="6" t="inlineStr">
        <is>
          <t>A</t>
        </is>
      </c>
      <c r="C50" s="5" t="inlineStr">
        <is>
          <t>Patriot Chevrolet of Warminster</t>
        </is>
      </c>
      <c r="D50" s="5" t="inlineStr">
        <is>
          <t>Car dealership</t>
        </is>
      </c>
      <c r="E50" s="7" t="inlineStr">
        <is>
          <t>(484) 842-4725</t>
        </is>
      </c>
      <c r="F50" s="5" t="inlineStr">
        <is>
          <t>829 W Street Rd</t>
        </is>
      </c>
      <c r="G50" s="5" t="inlineStr">
        <is>
          <t>Warminster</t>
        </is>
      </c>
      <c r="H50" s="5" t="inlineStr">
        <is>
          <t>Bucks</t>
        </is>
      </c>
      <c r="I50" s="8" t="inlineStr">
        <is>
          <t>Not called</t>
        </is>
      </c>
      <c r="J50" s="9" t="n"/>
      <c r="K50" s="8" t="n"/>
      <c r="L50" s="9" t="n"/>
      <c r="M50" s="8" t="n"/>
      <c r="N50" s="5" t="inlineStr">
        <is>
          <t>Ask for the general manager. Listing-site numbers can be tracking lines that ring sales.</t>
        </is>
      </c>
      <c r="O50" s="5" t="inlineStr">
        <is>
          <t>kbb.com</t>
        </is>
      </c>
    </row>
    <row r="51">
      <c r="A51" s="5" t="n">
        <v>50</v>
      </c>
      <c r="B51" s="6" t="inlineStr">
        <is>
          <t>A</t>
        </is>
      </c>
      <c r="C51" s="5" t="inlineStr">
        <is>
          <t>Audi Warrington (Sloane)</t>
        </is>
      </c>
      <c r="D51" s="5" t="inlineStr">
        <is>
          <t>Car dealership</t>
        </is>
      </c>
      <c r="E51" s="7" t="inlineStr">
        <is>
          <t>(267) 488-8773</t>
        </is>
      </c>
      <c r="F51" s="5" t="inlineStr">
        <is>
          <t>1607 Easton Rd</t>
        </is>
      </c>
      <c r="G51" s="5" t="inlineStr">
        <is>
          <t>Warrington</t>
        </is>
      </c>
      <c r="H51" s="5" t="inlineStr">
        <is>
          <t>Bucks</t>
        </is>
      </c>
      <c r="I51" s="8" t="inlineStr">
        <is>
          <t>Not called</t>
        </is>
      </c>
      <c r="J51" s="9" t="n"/>
      <c r="K51" s="8" t="n"/>
      <c r="L51" s="9" t="n"/>
      <c r="M51" s="8" t="n"/>
      <c r="N51" s="5" t="inlineStr">
        <is>
          <t>Ask for the general manager. Listing-site numbers can be tracking lines that ring sales.</t>
        </is>
      </c>
      <c r="O51" s="5" t="inlineStr">
        <is>
          <t>kbb.com</t>
        </is>
      </c>
    </row>
    <row r="52">
      <c r="A52" s="5" t="n">
        <v>51</v>
      </c>
      <c r="B52" s="6" t="inlineStr">
        <is>
          <t>A</t>
        </is>
      </c>
      <c r="C52" s="5" t="inlineStr">
        <is>
          <t>Chickie's and Pete's Warrington</t>
        </is>
      </c>
      <c r="D52" s="5" t="inlineStr">
        <is>
          <t>Restaurant/bar</t>
        </is>
      </c>
      <c r="E52" s="7" t="inlineStr">
        <is>
          <t>(215) 343-5206</t>
        </is>
      </c>
      <c r="F52" s="5" t="inlineStr">
        <is>
          <t>500 Easton Rd</t>
        </is>
      </c>
      <c r="G52" s="5" t="inlineStr">
        <is>
          <t>Warrington</t>
        </is>
      </c>
      <c r="H52" s="5" t="inlineStr">
        <is>
          <t>Bucks</t>
        </is>
      </c>
      <c r="I52" s="8" t="inlineStr">
        <is>
          <t>Not called</t>
        </is>
      </c>
      <c r="J52" s="9" t="n"/>
      <c r="K52" s="8" t="n"/>
      <c r="L52" s="9" t="n"/>
      <c r="M52" s="8" t="n"/>
      <c r="N52" s="5" t="inlineStr">
        <is>
          <t>Ask for the owner or GM. Call 2-4pm, between lunch and dinner.</t>
        </is>
      </c>
      <c r="O52" s="5" t="inlineStr">
        <is>
          <t>visitbuckscounty.com</t>
        </is>
      </c>
    </row>
    <row r="53">
      <c r="A53" s="5" t="n">
        <v>52</v>
      </c>
      <c r="B53" s="6" t="inlineStr">
        <is>
          <t>A</t>
        </is>
      </c>
      <c r="C53" s="5" t="inlineStr">
        <is>
          <t>Porsche Warrington (Sloane)</t>
        </is>
      </c>
      <c r="D53" s="5" t="inlineStr">
        <is>
          <t>Car dealership</t>
        </is>
      </c>
      <c r="E53" s="7" t="inlineStr">
        <is>
          <t>(267) 488-8738</t>
        </is>
      </c>
      <c r="F53" s="5" t="inlineStr">
        <is>
          <t>1607 Easton Rd</t>
        </is>
      </c>
      <c r="G53" s="5" t="inlineStr">
        <is>
          <t>Warrington</t>
        </is>
      </c>
      <c r="H53" s="5" t="inlineStr">
        <is>
          <t>Bucks</t>
        </is>
      </c>
      <c r="I53" s="8" t="inlineStr">
        <is>
          <t>Not called</t>
        </is>
      </c>
      <c r="J53" s="9" t="n"/>
      <c r="K53" s="8" t="n"/>
      <c r="L53" s="9" t="n"/>
      <c r="M53" s="8" t="n"/>
      <c r="N53" s="5" t="inlineStr">
        <is>
          <t>Ask for the general manager. Listing-site numbers can be tracking lines that ring sales.</t>
        </is>
      </c>
      <c r="O53" s="5" t="inlineStr">
        <is>
          <t>kbb.com</t>
        </is>
      </c>
    </row>
    <row r="54">
      <c r="A54" s="5" t="n">
        <v>53</v>
      </c>
      <c r="B54" s="6" t="inlineStr">
        <is>
          <t>A</t>
        </is>
      </c>
      <c r="C54" s="5" t="inlineStr">
        <is>
          <t>Shops at Valley Square (Wilder Companies leasing - Gary Robinson)</t>
        </is>
      </c>
      <c r="D54" s="5" t="inlineStr">
        <is>
          <t>Shopping center</t>
        </is>
      </c>
      <c r="E54" s="7" t="inlineStr">
        <is>
          <t>(617) 896-4908</t>
        </is>
      </c>
      <c r="F54" s="5" t="inlineStr">
        <is>
          <t>1501 N Main St area</t>
        </is>
      </c>
      <c r="G54" s="5" t="inlineStr">
        <is>
          <t>Warrington</t>
        </is>
      </c>
      <c r="H54" s="5" t="inlineStr">
        <is>
          <t>Bucks</t>
        </is>
      </c>
      <c r="I54" s="8" t="inlineStr">
        <is>
          <t>Not called</t>
        </is>
      </c>
      <c r="J54" s="9" t="n"/>
      <c r="K54" s="8" t="n"/>
      <c r="L54" s="9" t="n"/>
      <c r="M54" s="8" t="n"/>
      <c r="N54" s="5" t="inlineStr">
        <is>
          <t>Ask who handles holiday decor for the properties. Pitch a 3-year locked rate.</t>
        </is>
      </c>
      <c r="O54" s="5" t="inlineStr">
        <is>
          <t>nerej.com</t>
        </is>
      </c>
    </row>
    <row r="55">
      <c r="A55" s="5" t="n">
        <v>54</v>
      </c>
      <c r="B55" s="6" t="inlineStr">
        <is>
          <t>A</t>
        </is>
      </c>
      <c r="C55" s="5" t="inlineStr">
        <is>
          <t>Yardley Inn Restaurant and Bar</t>
        </is>
      </c>
      <c r="D55" s="5" t="inlineStr">
        <is>
          <t>Restaurant/bar</t>
        </is>
      </c>
      <c r="E55" s="7" t="inlineStr">
        <is>
          <t>(215) 493-3805</t>
        </is>
      </c>
      <c r="F55" s="5" t="inlineStr">
        <is>
          <t>82 E Afton Ave</t>
        </is>
      </c>
      <c r="G55" s="5" t="inlineStr">
        <is>
          <t>Yardley</t>
        </is>
      </c>
      <c r="H55" s="5" t="inlineStr">
        <is>
          <t>Bucks</t>
        </is>
      </c>
      <c r="I55" s="8" t="inlineStr">
        <is>
          <t>Not called</t>
        </is>
      </c>
      <c r="J55" s="9" t="n"/>
      <c r="K55" s="8" t="n"/>
      <c r="L55" s="9" t="n"/>
      <c r="M55" s="8" t="n"/>
      <c r="N55" s="5" t="inlineStr">
        <is>
          <t>Ask for the owner or GM. Call 2-4pm, between lunch and dinner.</t>
        </is>
      </c>
      <c r="O55" s="5" t="inlineStr">
        <is>
          <t>newswire.com</t>
        </is>
      </c>
    </row>
    <row r="56">
      <c r="A56" s="5" t="n">
        <v>55</v>
      </c>
      <c r="B56" s="10" t="inlineStr">
        <is>
          <t>B</t>
        </is>
      </c>
      <c r="C56" s="5" t="inlineStr">
        <is>
          <t>Asian Giant</t>
        </is>
      </c>
      <c r="D56" s="5" t="inlineStr">
        <is>
          <t>Restaurant</t>
        </is>
      </c>
      <c r="E56" s="7" t="inlineStr">
        <is>
          <t>(215) 638-2200</t>
        </is>
      </c>
      <c r="F56" s="5" t="inlineStr">
        <is>
          <t>1967 Street Rd</t>
        </is>
      </c>
      <c r="G56" s="5" t="inlineStr">
        <is>
          <t>Bensalem</t>
        </is>
      </c>
      <c r="H56" s="5" t="inlineStr">
        <is>
          <t>Bucks</t>
        </is>
      </c>
      <c r="I56" s="8" t="inlineStr">
        <is>
          <t>Not called</t>
        </is>
      </c>
      <c r="J56" s="9" t="n"/>
      <c r="K56" s="8" t="n"/>
      <c r="L56" s="9" t="n"/>
      <c r="M56" s="8" t="inlineStr">
        <is>
          <t>Directory listing: confirm the number on the first call.</t>
        </is>
      </c>
      <c r="N56" s="5" t="inlineStr">
        <is>
          <t>Ask for the owner or GM. Call 2-4pm, between lunch and dinner.</t>
        </is>
      </c>
      <c r="O56" s="5" t="inlineStr">
        <is>
          <t>city-data.com</t>
        </is>
      </c>
    </row>
    <row r="57">
      <c r="A57" s="5" t="n">
        <v>56</v>
      </c>
      <c r="B57" s="10" t="inlineStr">
        <is>
          <t>B</t>
        </is>
      </c>
      <c r="C57" s="5" t="inlineStr">
        <is>
          <t>Bagelocity Soup King</t>
        </is>
      </c>
      <c r="D57" s="5" t="inlineStr">
        <is>
          <t>Cafe</t>
        </is>
      </c>
      <c r="E57" s="7" t="inlineStr">
        <is>
          <t>(215) 245-7687</t>
        </is>
      </c>
      <c r="F57" s="5" t="inlineStr">
        <is>
          <t>5611 Bensalem Blvd</t>
        </is>
      </c>
      <c r="G57" s="5" t="inlineStr">
        <is>
          <t>Bensalem</t>
        </is>
      </c>
      <c r="H57" s="5" t="inlineStr">
        <is>
          <t>Bucks</t>
        </is>
      </c>
      <c r="I57" s="8" t="inlineStr">
        <is>
          <t>Not called</t>
        </is>
      </c>
      <c r="J57" s="9" t="n"/>
      <c r="K57" s="8" t="n"/>
      <c r="L57" s="9" t="n"/>
      <c r="M57" s="8" t="inlineStr">
        <is>
          <t>Directory listing: confirm the number on the first call.</t>
        </is>
      </c>
      <c r="N57" s="5" t="inlineStr">
        <is>
          <t>Ask for the owner or GM. Call 2-4pm, between lunch and dinner.</t>
        </is>
      </c>
      <c r="O57" s="5" t="inlineStr">
        <is>
          <t>city-data.com</t>
        </is>
      </c>
    </row>
    <row r="58">
      <c r="A58" s="5" t="n">
        <v>57</v>
      </c>
      <c r="B58" s="10" t="inlineStr">
        <is>
          <t>B</t>
        </is>
      </c>
      <c r="C58" s="5" t="inlineStr">
        <is>
          <t>Cafe Riviera</t>
        </is>
      </c>
      <c r="D58" s="5" t="inlineStr">
        <is>
          <t>Restaurant</t>
        </is>
      </c>
      <c r="E58" s="7" t="inlineStr">
        <is>
          <t>(215) 322-2577</t>
        </is>
      </c>
      <c r="F58" s="5" t="inlineStr">
        <is>
          <t>3900 Rock Hill Dr</t>
        </is>
      </c>
      <c r="G58" s="5" t="inlineStr">
        <is>
          <t>Bensalem</t>
        </is>
      </c>
      <c r="H58" s="5" t="inlineStr">
        <is>
          <t>Bucks</t>
        </is>
      </c>
      <c r="I58" s="8" t="inlineStr">
        <is>
          <t>Not called</t>
        </is>
      </c>
      <c r="J58" s="9" t="n"/>
      <c r="K58" s="8" t="n"/>
      <c r="L58" s="9" t="n"/>
      <c r="M58" s="8" t="inlineStr">
        <is>
          <t>Directory listing: confirm the number on the first call.</t>
        </is>
      </c>
      <c r="N58" s="5" t="inlineStr">
        <is>
          <t>Ask for the owner or GM. Call 2-4pm, between lunch and dinner.</t>
        </is>
      </c>
      <c r="O58" s="5" t="inlineStr">
        <is>
          <t>city-data.com</t>
        </is>
      </c>
    </row>
    <row r="59">
      <c r="A59" s="5" t="n">
        <v>58</v>
      </c>
      <c r="B59" s="10" t="inlineStr">
        <is>
          <t>B</t>
        </is>
      </c>
      <c r="C59" s="5" t="inlineStr">
        <is>
          <t>Calabrisella</t>
        </is>
      </c>
      <c r="D59" s="5" t="inlineStr">
        <is>
          <t>Restaurant</t>
        </is>
      </c>
      <c r="E59" s="7" t="inlineStr">
        <is>
          <t>(215) 639-3051</t>
        </is>
      </c>
      <c r="F59" s="5" t="inlineStr">
        <is>
          <t>715 Bristol Pike</t>
        </is>
      </c>
      <c r="G59" s="5" t="inlineStr">
        <is>
          <t>Bensalem</t>
        </is>
      </c>
      <c r="H59" s="5" t="inlineStr">
        <is>
          <t>Bucks</t>
        </is>
      </c>
      <c r="I59" s="8" t="inlineStr">
        <is>
          <t>Not called</t>
        </is>
      </c>
      <c r="J59" s="9" t="n"/>
      <c r="K59" s="8" t="n"/>
      <c r="L59" s="9" t="n"/>
      <c r="M59" s="8" t="inlineStr">
        <is>
          <t>Directory listing: confirm the number on the first call.</t>
        </is>
      </c>
      <c r="N59" s="5" t="inlineStr">
        <is>
          <t>Ask for the owner or GM. Call 2-4pm, between lunch and dinner.</t>
        </is>
      </c>
      <c r="O59" s="5" t="inlineStr">
        <is>
          <t>city-data.com</t>
        </is>
      </c>
    </row>
    <row r="60">
      <c r="A60" s="5" t="n">
        <v>59</v>
      </c>
      <c r="B60" s="10" t="inlineStr">
        <is>
          <t>B</t>
        </is>
      </c>
      <c r="C60" s="5" t="inlineStr">
        <is>
          <t>La Hacienda</t>
        </is>
      </c>
      <c r="D60" s="5" t="inlineStr">
        <is>
          <t>Restaurant</t>
        </is>
      </c>
      <c r="E60" s="7" t="inlineStr">
        <is>
          <t>(215) 322-2305</t>
        </is>
      </c>
      <c r="F60" s="5" t="inlineStr">
        <is>
          <t>4201 Neshaminy Blvd</t>
        </is>
      </c>
      <c r="G60" s="5" t="inlineStr">
        <is>
          <t>Bensalem</t>
        </is>
      </c>
      <c r="H60" s="5" t="inlineStr">
        <is>
          <t>Bucks</t>
        </is>
      </c>
      <c r="I60" s="8" t="inlineStr">
        <is>
          <t>Not called</t>
        </is>
      </c>
      <c r="J60" s="9" t="n"/>
      <c r="K60" s="8" t="n"/>
      <c r="L60" s="9" t="n"/>
      <c r="M60" s="8" t="inlineStr">
        <is>
          <t>Directory listing: confirm the number on the first call.</t>
        </is>
      </c>
      <c r="N60" s="5" t="inlineStr">
        <is>
          <t>Ask for the owner or GM. Call 2-4pm, between lunch and dinner.</t>
        </is>
      </c>
      <c r="O60" s="5" t="inlineStr">
        <is>
          <t>city-data.com</t>
        </is>
      </c>
    </row>
    <row r="61">
      <c r="A61" s="5" t="n">
        <v>60</v>
      </c>
      <c r="B61" s="10" t="inlineStr">
        <is>
          <t>B</t>
        </is>
      </c>
      <c r="C61" s="5" t="inlineStr">
        <is>
          <t>FX Dougherty Ltd</t>
        </is>
      </c>
      <c r="D61" s="5" t="inlineStr">
        <is>
          <t>Retail - tableware/gifts</t>
        </is>
      </c>
      <c r="E61" s="7" t="inlineStr">
        <is>
          <t>(800) 834-3797</t>
        </is>
      </c>
      <c r="F61" s="5" t="inlineStr">
        <is>
          <t>15 Clemens Rd</t>
        </is>
      </c>
      <c r="G61" s="5" t="inlineStr">
        <is>
          <t>Doylestown</t>
        </is>
      </c>
      <c r="H61" s="5" t="inlineStr">
        <is>
          <t>Bucks</t>
        </is>
      </c>
      <c r="I61" s="8" t="inlineStr">
        <is>
          <t>Not called</t>
        </is>
      </c>
      <c r="J61" s="9" t="n"/>
      <c r="K61" s="8" t="n"/>
      <c r="L61" s="9" t="n"/>
      <c r="M61" s="8" t="n"/>
      <c r="N61" s="5" t="inlineStr">
        <is>
          <t>Ask for the owner.</t>
        </is>
      </c>
      <c r="O61" s="5" t="inlineStr">
        <is>
          <t>houzz.com</t>
        </is>
      </c>
    </row>
    <row r="62">
      <c r="A62" s="5" t="n">
        <v>61</v>
      </c>
      <c r="B62" s="10" t="inlineStr">
        <is>
          <t>B</t>
        </is>
      </c>
      <c r="C62" s="5" t="inlineStr">
        <is>
          <t>L&amp;H Couture</t>
        </is>
      </c>
      <c r="D62" s="5" t="inlineStr">
        <is>
          <t>Retail - bridal boutique</t>
        </is>
      </c>
      <c r="E62" s="7" t="inlineStr">
        <is>
          <t>(215) 791-2523</t>
        </is>
      </c>
      <c r="F62" s="5" t="inlineStr">
        <is>
          <t>38 E Oakland Ave</t>
        </is>
      </c>
      <c r="G62" s="5" t="inlineStr">
        <is>
          <t>Doylestown</t>
        </is>
      </c>
      <c r="H62" s="5" t="inlineStr">
        <is>
          <t>Bucks</t>
        </is>
      </c>
      <c r="I62" s="8" t="inlineStr">
        <is>
          <t>Not called</t>
        </is>
      </c>
      <c r="J62" s="9" t="n"/>
      <c r="K62" s="8" t="n"/>
      <c r="L62" s="9" t="n"/>
      <c r="M62" s="8" t="n"/>
      <c r="N62" s="5" t="inlineStr">
        <is>
          <t>Ask for the owner.</t>
        </is>
      </c>
      <c r="O62" s="5" t="inlineStr">
        <is>
          <t>patch.com</t>
        </is>
      </c>
    </row>
    <row r="63">
      <c r="A63" s="5" t="n">
        <v>62</v>
      </c>
      <c r="B63" s="10" t="inlineStr">
        <is>
          <t>B</t>
        </is>
      </c>
      <c r="C63" s="5" t="inlineStr">
        <is>
          <t>Olive Beauty Co</t>
        </is>
      </c>
      <c r="D63" s="5" t="inlineStr">
        <is>
          <t>Salon</t>
        </is>
      </c>
      <c r="E63" s="7" t="inlineStr">
        <is>
          <t>(267) 454-6967</t>
        </is>
      </c>
      <c r="F63" s="5" t="inlineStr">
        <is>
          <t>1745 S Easton Rd Suite 2</t>
        </is>
      </c>
      <c r="G63" s="5" t="inlineStr">
        <is>
          <t>Doylestown</t>
        </is>
      </c>
      <c r="H63" s="5" t="inlineStr">
        <is>
          <t>Bucks</t>
        </is>
      </c>
      <c r="I63" s="8" t="inlineStr">
        <is>
          <t>Not called</t>
        </is>
      </c>
      <c r="J63" s="9" t="n"/>
      <c r="K63" s="8" t="n"/>
      <c r="L63" s="9" t="n"/>
      <c r="M63" s="8" t="n"/>
      <c r="N63" s="5" t="inlineStr">
        <is>
          <t>Ask for the owner.</t>
        </is>
      </c>
      <c r="O63" s="5" t="inlineStr">
        <is>
          <t>greencirclesalons.com</t>
        </is>
      </c>
    </row>
    <row r="64">
      <c r="A64" s="5" t="n">
        <v>63</v>
      </c>
      <c r="B64" s="10" t="inlineStr">
        <is>
          <t>B</t>
        </is>
      </c>
      <c r="C64" s="5" t="inlineStr">
        <is>
          <t>Piccolo Trattoria</t>
        </is>
      </c>
      <c r="D64" s="5" t="inlineStr">
        <is>
          <t>Restaurant</t>
        </is>
      </c>
      <c r="E64" s="7" t="inlineStr">
        <is>
          <t>(267) 485-4000</t>
        </is>
      </c>
      <c r="F64" s="5" t="inlineStr">
        <is>
          <t>1745 S Easton Rd</t>
        </is>
      </c>
      <c r="G64" s="5" t="inlineStr">
        <is>
          <t>Doylestown</t>
        </is>
      </c>
      <c r="H64" s="5" t="inlineStr">
        <is>
          <t>Bucks</t>
        </is>
      </c>
      <c r="I64" s="8" t="inlineStr">
        <is>
          <t>Not called</t>
        </is>
      </c>
      <c r="J64" s="9" t="n"/>
      <c r="K64" s="8" t="n"/>
      <c r="L64" s="9" t="n"/>
      <c r="M64" s="8" t="n"/>
      <c r="N64" s="5" t="inlineStr">
        <is>
          <t>Ask for the owner or GM. Call 2-4pm, between lunch and dinner.</t>
        </is>
      </c>
      <c r="O64" s="5" t="inlineStr">
        <is>
          <t>aaa.com</t>
        </is>
      </c>
    </row>
    <row r="65">
      <c r="A65" s="5" t="n">
        <v>64</v>
      </c>
      <c r="B65" s="10" t="inlineStr">
        <is>
          <t>B</t>
        </is>
      </c>
      <c r="C65" s="5" t="inlineStr">
        <is>
          <t>Salon 39</t>
        </is>
      </c>
      <c r="D65" s="5" t="inlineStr">
        <is>
          <t>Salon</t>
        </is>
      </c>
      <c r="E65" s="7" t="inlineStr">
        <is>
          <t>(215) 345-5446</t>
        </is>
      </c>
      <c r="F65" s="5" t="inlineStr">
        <is>
          <t>39 W State St Ste 1</t>
        </is>
      </c>
      <c r="G65" s="5" t="inlineStr">
        <is>
          <t>Doylestown</t>
        </is>
      </c>
      <c r="H65" s="5" t="inlineStr">
        <is>
          <t>Bucks</t>
        </is>
      </c>
      <c r="I65" s="8" t="inlineStr">
        <is>
          <t>Not called</t>
        </is>
      </c>
      <c r="J65" s="9" t="n"/>
      <c r="K65" s="8" t="n"/>
      <c r="L65" s="9" t="n"/>
      <c r="M65" s="8" t="n"/>
      <c r="N65" s="5" t="inlineStr">
        <is>
          <t>Ask for the owner.</t>
        </is>
      </c>
      <c r="O65" s="5" t="inlineStr">
        <is>
          <t>zoominfo.com</t>
        </is>
      </c>
    </row>
    <row r="66">
      <c r="A66" s="5" t="n">
        <v>65</v>
      </c>
      <c r="B66" s="10" t="inlineStr">
        <is>
          <t>B</t>
        </is>
      </c>
      <c r="C66" s="5" t="inlineStr">
        <is>
          <t>Serenity Day Spa</t>
        </is>
      </c>
      <c r="D66" s="5" t="inlineStr">
        <is>
          <t>Spa</t>
        </is>
      </c>
      <c r="E66" s="7" t="inlineStr">
        <is>
          <t>(215) 230-9487</t>
        </is>
      </c>
      <c r="F66" s="5" t="inlineStr">
        <is>
          <t>64 E Swamp Rd</t>
        </is>
      </c>
      <c r="G66" s="5" t="inlineStr">
        <is>
          <t>Doylestown</t>
        </is>
      </c>
      <c r="H66" s="5" t="inlineStr">
        <is>
          <t>Bucks</t>
        </is>
      </c>
      <c r="I66" s="8" t="inlineStr">
        <is>
          <t>Not called</t>
        </is>
      </c>
      <c r="J66" s="9" t="n"/>
      <c r="K66" s="8" t="n"/>
      <c r="L66" s="9" t="n"/>
      <c r="M66" s="8" t="n"/>
      <c r="N66" s="5" t="inlineStr">
        <is>
          <t>Ask for the owner.</t>
        </is>
      </c>
      <c r="O66" s="5" t="inlineStr">
        <is>
          <t>doylestownborough.net</t>
        </is>
      </c>
    </row>
    <row r="67">
      <c r="A67" s="5" t="n">
        <v>66</v>
      </c>
      <c r="B67" s="10" t="inlineStr">
        <is>
          <t>B</t>
        </is>
      </c>
      <c r="C67" s="5" t="inlineStr">
        <is>
          <t>Terrain Cafe</t>
        </is>
      </c>
      <c r="D67" s="5" t="inlineStr">
        <is>
          <t>Restaurant/garden store</t>
        </is>
      </c>
      <c r="E67" s="7" t="inlineStr">
        <is>
          <t>(267) 680-8108</t>
        </is>
      </c>
      <c r="F67" s="5" t="inlineStr">
        <is>
          <t>2100 Lower State Rd</t>
        </is>
      </c>
      <c r="G67" s="5" t="inlineStr">
        <is>
          <t>Doylestown</t>
        </is>
      </c>
      <c r="H67" s="5" t="inlineStr">
        <is>
          <t>Bucks</t>
        </is>
      </c>
      <c r="I67" s="8" t="inlineStr">
        <is>
          <t>Not called</t>
        </is>
      </c>
      <c r="J67" s="9" t="n"/>
      <c r="K67" s="8" t="n"/>
      <c r="L67" s="9" t="n"/>
      <c r="M67" s="8" t="n"/>
      <c r="N67" s="5" t="inlineStr">
        <is>
          <t>They may sell lights. Pitch a referral deal for customers who want them installed.</t>
        </is>
      </c>
      <c r="O67" s="5" t="inlineStr">
        <is>
          <t>aaa.com</t>
        </is>
      </c>
    </row>
    <row r="68">
      <c r="A68" s="5" t="n">
        <v>67</v>
      </c>
      <c r="B68" s="10" t="inlineStr">
        <is>
          <t>B</t>
        </is>
      </c>
      <c r="C68" s="5" t="inlineStr">
        <is>
          <t>Wesley Enhanced Living Doylestown</t>
        </is>
      </c>
      <c r="D68" s="5" t="inlineStr">
        <is>
          <t>Senior living</t>
        </is>
      </c>
      <c r="E68" s="7" t="inlineStr">
        <is>
          <t>(267) 895-1100</t>
        </is>
      </c>
      <c r="F68" s="5" t="inlineStr">
        <is>
          <t>200 Veterans Ln</t>
        </is>
      </c>
      <c r="G68" s="5" t="inlineStr">
        <is>
          <t>Doylestown</t>
        </is>
      </c>
      <c r="H68" s="5" t="inlineStr">
        <is>
          <t>Bucks</t>
        </is>
      </c>
      <c r="I68" s="8" t="inlineStr">
        <is>
          <t>Not called</t>
        </is>
      </c>
      <c r="J68" s="9" t="n"/>
      <c r="K68" s="8" t="n"/>
      <c r="L68" s="9" t="n"/>
      <c r="M68" s="8" t="n"/>
      <c r="N68" s="5" t="inlineStr">
        <is>
          <t>Ask for the executive director or facilities director.</t>
        </is>
      </c>
      <c r="O68" s="5" t="inlineStr">
        <is>
          <t>wel-prod.enqbator.com (main line; sales 267-895-1152)</t>
        </is>
      </c>
    </row>
    <row r="69">
      <c r="A69" s="5" t="n">
        <v>68</v>
      </c>
      <c r="B69" s="10" t="inlineStr">
        <is>
          <t>B</t>
        </is>
      </c>
      <c r="C69" s="5" t="inlineStr">
        <is>
          <t>Toscana 52</t>
        </is>
      </c>
      <c r="D69" s="5" t="inlineStr">
        <is>
          <t>Restaurant</t>
        </is>
      </c>
      <c r="E69" s="7" t="inlineStr">
        <is>
          <t>(215) 942-7770</t>
        </is>
      </c>
      <c r="F69" s="5" t="inlineStr">
        <is>
          <t>4603 E Street Rd</t>
        </is>
      </c>
      <c r="G69" s="5" t="inlineStr">
        <is>
          <t>Feasterville-Trevose</t>
        </is>
      </c>
      <c r="H69" s="5" t="inlineStr">
        <is>
          <t>Bucks</t>
        </is>
      </c>
      <c r="I69" s="8" t="inlineStr">
        <is>
          <t>Not called</t>
        </is>
      </c>
      <c r="J69" s="9" t="n"/>
      <c r="K69" s="8" t="n"/>
      <c r="L69" s="9" t="n"/>
      <c r="M69" s="8" t="n"/>
      <c r="N69" s="5" t="inlineStr">
        <is>
          <t>Ask for the owner or GM. Call 2-4pm, between lunch and dinner.</t>
        </is>
      </c>
      <c r="O69" s="5" t="inlineStr">
        <is>
          <t>aaa.com</t>
        </is>
      </c>
    </row>
    <row r="70">
      <c r="A70" s="5" t="n">
        <v>69</v>
      </c>
      <c r="B70" s="10" t="inlineStr">
        <is>
          <t>B</t>
        </is>
      </c>
      <c r="C70" s="5" t="inlineStr">
        <is>
          <t>Trevose Pizza</t>
        </is>
      </c>
      <c r="D70" s="5" t="inlineStr">
        <is>
          <t>Restaurant</t>
        </is>
      </c>
      <c r="E70" s="7" t="inlineStr">
        <is>
          <t>(215) 322-6058</t>
        </is>
      </c>
      <c r="F70" s="5" t="inlineStr">
        <is>
          <t>548 Andrews Rd</t>
        </is>
      </c>
      <c r="G70" s="5" t="inlineStr">
        <is>
          <t>Feasterville-Trevose</t>
        </is>
      </c>
      <c r="H70" s="5" t="inlineStr">
        <is>
          <t>Bucks</t>
        </is>
      </c>
      <c r="I70" s="8" t="inlineStr">
        <is>
          <t>Not called</t>
        </is>
      </c>
      <c r="J70" s="9" t="n"/>
      <c r="K70" s="8" t="n"/>
      <c r="L70" s="9" t="n"/>
      <c r="M70" s="8" t="n"/>
      <c r="N70" s="5" t="inlineStr">
        <is>
          <t>Ask for the owner or GM. Call 2-4pm, between lunch and dinner.</t>
        </is>
      </c>
      <c r="O70" s="5" t="inlineStr">
        <is>
          <t>singleplatform.com</t>
        </is>
      </c>
    </row>
    <row r="71">
      <c r="A71" s="5" t="n">
        <v>70</v>
      </c>
      <c r="B71" s="10" t="inlineStr">
        <is>
          <t>B</t>
        </is>
      </c>
      <c r="C71" s="5" t="inlineStr">
        <is>
          <t>Woks Cooking</t>
        </is>
      </c>
      <c r="D71" s="5" t="inlineStr">
        <is>
          <t>Restaurant</t>
        </is>
      </c>
      <c r="E71" s="7" t="inlineStr">
        <is>
          <t>(215) 953-9997</t>
        </is>
      </c>
      <c r="F71" s="5" t="inlineStr">
        <is>
          <t>270 E Street Rd</t>
        </is>
      </c>
      <c r="G71" s="5" t="inlineStr">
        <is>
          <t>Feasterville-Trevose</t>
        </is>
      </c>
      <c r="H71" s="5" t="inlineStr">
        <is>
          <t>Bucks</t>
        </is>
      </c>
      <c r="I71" s="8" t="inlineStr">
        <is>
          <t>Not called</t>
        </is>
      </c>
      <c r="J71" s="9" t="n"/>
      <c r="K71" s="8" t="n"/>
      <c r="L71" s="9" t="n"/>
      <c r="M71" s="8" t="n"/>
      <c r="N71" s="5" t="inlineStr">
        <is>
          <t>Ask for the owner or GM. Call 2-4pm, between lunch and dinner.</t>
        </is>
      </c>
      <c r="O71" s="5" t="inlineStr">
        <is>
          <t>frankiapp.com</t>
        </is>
      </c>
    </row>
    <row r="72">
      <c r="A72" s="5" t="n">
        <v>71</v>
      </c>
      <c r="B72" s="10" t="inlineStr">
        <is>
          <t>B</t>
        </is>
      </c>
      <c r="C72" s="5" t="inlineStr">
        <is>
          <t>Twining Village</t>
        </is>
      </c>
      <c r="D72" s="5" t="inlineStr">
        <is>
          <t>Senior living</t>
        </is>
      </c>
      <c r="E72" s="7" t="inlineStr">
        <is>
          <t>(215) 322-6100</t>
        </is>
      </c>
      <c r="F72" s="5" t="inlineStr">
        <is>
          <t>280 Middle Holland Rd</t>
        </is>
      </c>
      <c r="G72" s="5" t="inlineStr">
        <is>
          <t>Holland</t>
        </is>
      </c>
      <c r="H72" s="5" t="inlineStr">
        <is>
          <t>Bucks</t>
        </is>
      </c>
      <c r="I72" s="8" t="inlineStr">
        <is>
          <t>Not called</t>
        </is>
      </c>
      <c r="J72" s="9" t="n"/>
      <c r="K72" s="8" t="n"/>
      <c r="L72" s="9" t="n"/>
      <c r="M72" s="8" t="n"/>
      <c r="N72" s="5" t="inlineStr">
        <is>
          <t>Ask for the executive director or facilities director.</t>
        </is>
      </c>
      <c r="O72" s="5" t="inlineStr">
        <is>
          <t>caring.com (sales 215-608-2027)</t>
        </is>
      </c>
    </row>
    <row r="73">
      <c r="A73" s="5" t="n">
        <v>72</v>
      </c>
      <c r="B73" s="10" t="inlineStr">
        <is>
          <t>B</t>
        </is>
      </c>
      <c r="C73" s="5" t="inlineStr">
        <is>
          <t>Bella Tori at the Mansion</t>
        </is>
      </c>
      <c r="D73" s="5" t="inlineStr">
        <is>
          <t>Restaurant/event venue</t>
        </is>
      </c>
      <c r="E73" s="7" t="inlineStr">
        <is>
          <t>(215) 702-9600</t>
        </is>
      </c>
      <c r="F73" s="5" t="inlineStr">
        <is>
          <t>321 S Bellevue Ave</t>
        </is>
      </c>
      <c r="G73" s="5" t="inlineStr">
        <is>
          <t>Langhorne</t>
        </is>
      </c>
      <c r="H73" s="5" t="inlineStr">
        <is>
          <t>Bucks</t>
        </is>
      </c>
      <c r="I73" s="8" t="inlineStr">
        <is>
          <t>Not called</t>
        </is>
      </c>
      <c r="J73" s="9" t="n"/>
      <c r="K73" s="8" t="n"/>
      <c r="L73" s="9" t="n"/>
      <c r="M73" s="8" t="n"/>
      <c r="N73" s="5" t="inlineStr">
        <is>
          <t>Ask for the owner or GM. Call 2-4pm, between lunch and dinner.</t>
        </is>
      </c>
      <c r="O73" s="5" t="inlineStr">
        <is>
          <t>aaa.com</t>
        </is>
      </c>
    </row>
    <row r="74">
      <c r="A74" s="5" t="n">
        <v>73</v>
      </c>
      <c r="B74" s="10" t="inlineStr">
        <is>
          <t>B</t>
        </is>
      </c>
      <c r="C74" s="5" t="inlineStr">
        <is>
          <t>Plum Tree Garden</t>
        </is>
      </c>
      <c r="D74" s="5" t="inlineStr">
        <is>
          <t>Restaurant</t>
        </is>
      </c>
      <c r="E74" s="7" t="inlineStr">
        <is>
          <t>(215) 752-9699</t>
        </is>
      </c>
      <c r="F74" s="5" t="inlineStr">
        <is>
          <t>2034 E Old Lincoln Hwy</t>
        </is>
      </c>
      <c r="G74" s="5" t="inlineStr">
        <is>
          <t>Langhorne</t>
        </is>
      </c>
      <c r="H74" s="5" t="inlineStr">
        <is>
          <t>Bucks</t>
        </is>
      </c>
      <c r="I74" s="8" t="inlineStr">
        <is>
          <t>Not called</t>
        </is>
      </c>
      <c r="J74" s="9" t="n"/>
      <c r="K74" s="8" t="n"/>
      <c r="L74" s="9" t="n"/>
      <c r="M74" s="8" t="n"/>
      <c r="N74" s="5" t="inlineStr">
        <is>
          <t>Ask for the owner or GM. Call 2-4pm, between lunch and dinner.</t>
        </is>
      </c>
      <c r="O74" s="5" t="inlineStr">
        <is>
          <t>frankiapp.com</t>
        </is>
      </c>
    </row>
    <row r="75">
      <c r="A75" s="5" t="n">
        <v>74</v>
      </c>
      <c r="B75" s="10" t="inlineStr">
        <is>
          <t>B</t>
        </is>
      </c>
      <c r="C75" s="5" t="inlineStr">
        <is>
          <t>Ariana's Pizza</t>
        </is>
      </c>
      <c r="D75" s="5" t="inlineStr">
        <is>
          <t>Restaurant</t>
        </is>
      </c>
      <c r="E75" s="7" t="inlineStr">
        <is>
          <t>(215) 949-8785</t>
        </is>
      </c>
      <c r="F75" s="5" t="inlineStr"/>
      <c r="G75" s="5" t="inlineStr">
        <is>
          <t>Levittown</t>
        </is>
      </c>
      <c r="H75" s="5" t="inlineStr">
        <is>
          <t>Bucks</t>
        </is>
      </c>
      <c r="I75" s="8" t="inlineStr">
        <is>
          <t>Not called</t>
        </is>
      </c>
      <c r="J75" s="9" t="n"/>
      <c r="K75" s="8" t="n"/>
      <c r="L75" s="9" t="n"/>
      <c r="M75" s="8" t="n"/>
      <c r="N75" s="5" t="inlineStr">
        <is>
          <t>Ask for the owner or GM. Call 2-4pm, between lunch and dinner.</t>
        </is>
      </c>
      <c r="O75" s="5" t="inlineStr">
        <is>
          <t>foodtecsolutions.com</t>
        </is>
      </c>
    </row>
    <row r="76">
      <c r="A76" s="5" t="n">
        <v>75</v>
      </c>
      <c r="B76" s="10" t="inlineStr">
        <is>
          <t>B</t>
        </is>
      </c>
      <c r="C76" s="5" t="inlineStr">
        <is>
          <t>Pat's Pizza &amp; Bistro</t>
        </is>
      </c>
      <c r="D76" s="5" t="inlineStr">
        <is>
          <t>Restaurant</t>
        </is>
      </c>
      <c r="E76" s="7" t="inlineStr">
        <is>
          <t>(215) 943-5000</t>
        </is>
      </c>
      <c r="F76" s="5" t="inlineStr">
        <is>
          <t>8630 New Falls Rd</t>
        </is>
      </c>
      <c r="G76" s="5" t="inlineStr">
        <is>
          <t>Levittown</t>
        </is>
      </c>
      <c r="H76" s="5" t="inlineStr">
        <is>
          <t>Bucks</t>
        </is>
      </c>
      <c r="I76" s="8" t="inlineStr">
        <is>
          <t>Not called</t>
        </is>
      </c>
      <c r="J76" s="9" t="n"/>
      <c r="K76" s="8" t="n"/>
      <c r="L76" s="9" t="n"/>
      <c r="M76" s="8" t="n"/>
      <c r="N76" s="5" t="inlineStr">
        <is>
          <t>Ask for the owner or GM. Call 2-4pm, between lunch and dinner.</t>
        </is>
      </c>
      <c r="O76" s="5" t="inlineStr">
        <is>
          <t>fallstwp.com</t>
        </is>
      </c>
    </row>
    <row r="77">
      <c r="A77" s="5" t="n">
        <v>76</v>
      </c>
      <c r="B77" s="10" t="inlineStr">
        <is>
          <t>B</t>
        </is>
      </c>
      <c r="C77" s="5" t="inlineStr">
        <is>
          <t>Mother's Restaurant</t>
        </is>
      </c>
      <c r="D77" s="5" t="inlineStr">
        <is>
          <t>Restaurant</t>
        </is>
      </c>
      <c r="E77" s="7" t="inlineStr">
        <is>
          <t>(215) 862-5857</t>
        </is>
      </c>
      <c r="F77" s="5" t="inlineStr">
        <is>
          <t>34 N Main St</t>
        </is>
      </c>
      <c r="G77" s="5" t="inlineStr">
        <is>
          <t>New Hope</t>
        </is>
      </c>
      <c r="H77" s="5" t="inlineStr">
        <is>
          <t>Bucks</t>
        </is>
      </c>
      <c r="I77" s="8" t="inlineStr">
        <is>
          <t>Not called</t>
        </is>
      </c>
      <c r="J77" s="9" t="n"/>
      <c r="K77" s="8" t="n"/>
      <c r="L77" s="9" t="n"/>
      <c r="M77" s="8" t="n"/>
      <c r="N77" s="5" t="inlineStr">
        <is>
          <t>Ask for the owner or GM. Call 2-4pm, between lunch and dinner.</t>
        </is>
      </c>
      <c r="O77" s="5" t="inlineStr">
        <is>
          <t>explorepahistory.com</t>
        </is>
      </c>
    </row>
    <row r="78">
      <c r="A78" s="5" t="n">
        <v>77</v>
      </c>
      <c r="B78" s="10" t="inlineStr">
        <is>
          <t>B</t>
        </is>
      </c>
      <c r="C78" s="5" t="inlineStr">
        <is>
          <t>Oldestone Steakhouse</t>
        </is>
      </c>
      <c r="D78" s="5" t="inlineStr">
        <is>
          <t>Restaurant</t>
        </is>
      </c>
      <c r="E78" s="7" t="inlineStr">
        <is>
          <t>(215) 862-7044</t>
        </is>
      </c>
      <c r="F78" s="5" t="inlineStr">
        <is>
          <t>15 S Main St</t>
        </is>
      </c>
      <c r="G78" s="5" t="inlineStr">
        <is>
          <t>New Hope</t>
        </is>
      </c>
      <c r="H78" s="5" t="inlineStr">
        <is>
          <t>Bucks</t>
        </is>
      </c>
      <c r="I78" s="8" t="inlineStr">
        <is>
          <t>Not called</t>
        </is>
      </c>
      <c r="J78" s="9" t="n"/>
      <c r="K78" s="8" t="n"/>
      <c r="L78" s="9" t="n"/>
      <c r="M78" s="8" t="n"/>
      <c r="N78" s="5" t="inlineStr">
        <is>
          <t>Ask for the owner or GM. Call 2-4pm, between lunch and dinner.</t>
        </is>
      </c>
      <c r="O78" s="5" t="inlineStr">
        <is>
          <t>foodle.pro</t>
        </is>
      </c>
    </row>
    <row r="79">
      <c r="A79" s="5" t="n">
        <v>78</v>
      </c>
      <c r="B79" s="10" t="inlineStr">
        <is>
          <t>B</t>
        </is>
      </c>
      <c r="C79" s="5" t="inlineStr">
        <is>
          <t>Adriana's Little Italy</t>
        </is>
      </c>
      <c r="D79" s="5" t="inlineStr">
        <is>
          <t>Restaurant</t>
        </is>
      </c>
      <c r="E79" s="7" t="inlineStr">
        <is>
          <t>(267) 888-2565</t>
        </is>
      </c>
      <c r="F79" s="5" t="inlineStr">
        <is>
          <t>573 Durham Rd</t>
        </is>
      </c>
      <c r="G79" s="5" t="inlineStr">
        <is>
          <t>Newtown</t>
        </is>
      </c>
      <c r="H79" s="5" t="inlineStr">
        <is>
          <t>Bucks</t>
        </is>
      </c>
      <c r="I79" s="8" t="inlineStr">
        <is>
          <t>Not called</t>
        </is>
      </c>
      <c r="J79" s="9" t="n"/>
      <c r="K79" s="8" t="n"/>
      <c r="L79" s="9" t="n"/>
      <c r="M79" s="8" t="inlineStr">
        <is>
          <t>Directory listing: confirm the number on the first call.</t>
        </is>
      </c>
      <c r="N79" s="5" t="inlineStr">
        <is>
          <t>Ask for the owner or GM. Call 2-4pm, between lunch and dinner.</t>
        </is>
      </c>
      <c r="O79" s="5" t="inlineStr">
        <is>
          <t>city-data.com</t>
        </is>
      </c>
    </row>
    <row r="80">
      <c r="A80" s="5" t="n">
        <v>79</v>
      </c>
      <c r="B80" s="10" t="inlineStr">
        <is>
          <t>B</t>
        </is>
      </c>
      <c r="C80" s="5" t="inlineStr">
        <is>
          <t>Bibabella</t>
        </is>
      </c>
      <c r="D80" s="5" t="inlineStr">
        <is>
          <t>Restaurant</t>
        </is>
      </c>
      <c r="E80" s="7" t="inlineStr">
        <is>
          <t>(215) 504-0888</t>
        </is>
      </c>
      <c r="F80" s="5" t="inlineStr">
        <is>
          <t>12 Cambridge Ln</t>
        </is>
      </c>
      <c r="G80" s="5" t="inlineStr">
        <is>
          <t>Newtown</t>
        </is>
      </c>
      <c r="H80" s="5" t="inlineStr">
        <is>
          <t>Bucks</t>
        </is>
      </c>
      <c r="I80" s="8" t="inlineStr">
        <is>
          <t>Not called</t>
        </is>
      </c>
      <c r="J80" s="9" t="n"/>
      <c r="K80" s="8" t="n"/>
      <c r="L80" s="9" t="n"/>
      <c r="M80" s="8" t="inlineStr">
        <is>
          <t>Directory listing: confirm the number on the first call.</t>
        </is>
      </c>
      <c r="N80" s="5" t="inlineStr">
        <is>
          <t>Ask for the owner or GM. Call 2-4pm, between lunch and dinner.</t>
        </is>
      </c>
      <c r="O80" s="5" t="inlineStr">
        <is>
          <t>city-data.com</t>
        </is>
      </c>
    </row>
    <row r="81">
      <c r="A81" s="5" t="n">
        <v>80</v>
      </c>
      <c r="B81" s="10" t="inlineStr">
        <is>
          <t>B</t>
        </is>
      </c>
      <c r="C81" s="5" t="inlineStr">
        <is>
          <t>Bread Runner</t>
        </is>
      </c>
      <c r="D81" s="5" t="inlineStr">
        <is>
          <t>Bakery/cafe</t>
        </is>
      </c>
      <c r="E81" s="7" t="inlineStr">
        <is>
          <t>(267) 685-0397</t>
        </is>
      </c>
      <c r="F81" s="5" t="inlineStr">
        <is>
          <t>2838 S Eagle Rd</t>
        </is>
      </c>
      <c r="G81" s="5" t="inlineStr">
        <is>
          <t>Newtown</t>
        </is>
      </c>
      <c r="H81" s="5" t="inlineStr">
        <is>
          <t>Bucks</t>
        </is>
      </c>
      <c r="I81" s="8" t="inlineStr">
        <is>
          <t>Not called</t>
        </is>
      </c>
      <c r="J81" s="9" t="n"/>
      <c r="K81" s="8" t="n"/>
      <c r="L81" s="9" t="n"/>
      <c r="M81" s="8" t="inlineStr">
        <is>
          <t>Directory listing: confirm the number on the first call.</t>
        </is>
      </c>
      <c r="N81" s="5" t="inlineStr">
        <is>
          <t>Ask for the owner or GM. Call 2-4pm, between lunch and dinner.</t>
        </is>
      </c>
      <c r="O81" s="5" t="inlineStr">
        <is>
          <t>city-data.com</t>
        </is>
      </c>
    </row>
    <row r="82">
      <c r="A82" s="5" t="n">
        <v>81</v>
      </c>
      <c r="B82" s="10" t="inlineStr">
        <is>
          <t>B</t>
        </is>
      </c>
      <c r="C82" s="5" t="inlineStr">
        <is>
          <t>Cafe Con Leche</t>
        </is>
      </c>
      <c r="D82" s="5" t="inlineStr">
        <is>
          <t>Restaurant</t>
        </is>
      </c>
      <c r="E82" s="7" t="inlineStr">
        <is>
          <t>(215) 497-1020</t>
        </is>
      </c>
      <c r="F82" s="5" t="inlineStr">
        <is>
          <t>16 S State St #6</t>
        </is>
      </c>
      <c r="G82" s="5" t="inlineStr">
        <is>
          <t>Newtown</t>
        </is>
      </c>
      <c r="H82" s="5" t="inlineStr">
        <is>
          <t>Bucks</t>
        </is>
      </c>
      <c r="I82" s="8" t="inlineStr">
        <is>
          <t>Not called</t>
        </is>
      </c>
      <c r="J82" s="9" t="n"/>
      <c r="K82" s="8" t="n"/>
      <c r="L82" s="9" t="n"/>
      <c r="M82" s="8" t="inlineStr">
        <is>
          <t>Directory listing: confirm the number on the first call.</t>
        </is>
      </c>
      <c r="N82" s="5" t="inlineStr">
        <is>
          <t>Ask for the owner or GM. Call 2-4pm, between lunch and dinner.</t>
        </is>
      </c>
      <c r="O82" s="5" t="inlineStr">
        <is>
          <t>city-data.com</t>
        </is>
      </c>
    </row>
    <row r="83">
      <c r="A83" s="5" t="n">
        <v>82</v>
      </c>
      <c r="B83" s="10" t="inlineStr">
        <is>
          <t>B</t>
        </is>
      </c>
      <c r="C83" s="5" t="inlineStr">
        <is>
          <t>David J Witchell Salon &amp; Spa</t>
        </is>
      </c>
      <c r="D83" s="5" t="inlineStr">
        <is>
          <t>Salon/spa</t>
        </is>
      </c>
      <c r="E83" s="7" t="inlineStr">
        <is>
          <t>(215) 579-1200</t>
        </is>
      </c>
      <c r="F83" s="5" t="inlineStr">
        <is>
          <t>25 S State St</t>
        </is>
      </c>
      <c r="G83" s="5" t="inlineStr">
        <is>
          <t>Newtown</t>
        </is>
      </c>
      <c r="H83" s="5" t="inlineStr">
        <is>
          <t>Bucks</t>
        </is>
      </c>
      <c r="I83" s="8" t="inlineStr">
        <is>
          <t>Not called</t>
        </is>
      </c>
      <c r="J83" s="9" t="n"/>
      <c r="K83" s="8" t="n"/>
      <c r="L83" s="9" t="n"/>
      <c r="M83" s="8" t="n"/>
      <c r="N83" s="5" t="inlineStr">
        <is>
          <t>Ask for the owner.</t>
        </is>
      </c>
      <c r="O83" s="5" t="inlineStr">
        <is>
          <t>checkbook.org</t>
        </is>
      </c>
    </row>
    <row r="84">
      <c r="A84" s="5" t="n">
        <v>83</v>
      </c>
      <c r="B84" s="10" t="inlineStr">
        <is>
          <t>B</t>
        </is>
      </c>
      <c r="C84" s="5" t="inlineStr">
        <is>
          <t>Guru's Indian Restaurant</t>
        </is>
      </c>
      <c r="D84" s="5" t="inlineStr">
        <is>
          <t>Restaurant</t>
        </is>
      </c>
      <c r="E84" s="7" t="inlineStr">
        <is>
          <t>(215) 968-5700</t>
        </is>
      </c>
      <c r="F84" s="5" t="inlineStr">
        <is>
          <t>203 N Sycamore St</t>
        </is>
      </c>
      <c r="G84" s="5" t="inlineStr">
        <is>
          <t>Newtown</t>
        </is>
      </c>
      <c r="H84" s="5" t="inlineStr">
        <is>
          <t>Bucks</t>
        </is>
      </c>
      <c r="I84" s="8" t="inlineStr">
        <is>
          <t>Not called</t>
        </is>
      </c>
      <c r="J84" s="9" t="n"/>
      <c r="K84" s="8" t="n"/>
      <c r="L84" s="9" t="n"/>
      <c r="M84" s="8" t="n"/>
      <c r="N84" s="5" t="inlineStr">
        <is>
          <t>Ask for the owner or GM. Call 2-4pm, between lunch and dinner.</t>
        </is>
      </c>
      <c r="O84" s="5" t="inlineStr">
        <is>
          <t>tableagent.com</t>
        </is>
      </c>
    </row>
    <row r="85">
      <c r="A85" s="5" t="n">
        <v>84</v>
      </c>
      <c r="B85" s="10" t="inlineStr">
        <is>
          <t>B</t>
        </is>
      </c>
      <c r="C85" s="5" t="inlineStr">
        <is>
          <t>Inner Spa</t>
        </is>
      </c>
      <c r="D85" s="5" t="inlineStr">
        <is>
          <t>Spa</t>
        </is>
      </c>
      <c r="E85" s="7" t="inlineStr">
        <is>
          <t>(215) 968-9000</t>
        </is>
      </c>
      <c r="F85" s="5" t="inlineStr">
        <is>
          <t>4 Terry Dr Suite 12</t>
        </is>
      </c>
      <c r="G85" s="5" t="inlineStr">
        <is>
          <t>Newtown</t>
        </is>
      </c>
      <c r="H85" s="5" t="inlineStr">
        <is>
          <t>Bucks</t>
        </is>
      </c>
      <c r="I85" s="8" t="inlineStr">
        <is>
          <t>Not called</t>
        </is>
      </c>
      <c r="J85" s="9" t="n"/>
      <c r="K85" s="8" t="n"/>
      <c r="L85" s="9" t="n"/>
      <c r="M85" s="8" t="n"/>
      <c r="N85" s="5" t="inlineStr">
        <is>
          <t>Ask for the owner.</t>
        </is>
      </c>
      <c r="O85" s="5" t="inlineStr">
        <is>
          <t>newbizbot.ai</t>
        </is>
      </c>
    </row>
    <row r="86">
      <c r="A86" s="5" t="n">
        <v>85</v>
      </c>
      <c r="B86" s="10" t="inlineStr">
        <is>
          <t>B</t>
        </is>
      </c>
      <c r="C86" s="5" t="inlineStr">
        <is>
          <t>Lavender Rose</t>
        </is>
      </c>
      <c r="D86" s="5" t="inlineStr">
        <is>
          <t>Retail - gifts</t>
        </is>
      </c>
      <c r="E86" s="7" t="inlineStr">
        <is>
          <t>(215) 497-9057</t>
        </is>
      </c>
      <c r="F86" s="5" t="inlineStr">
        <is>
          <t>317 S State St</t>
        </is>
      </c>
      <c r="G86" s="5" t="inlineStr">
        <is>
          <t>Newtown</t>
        </is>
      </c>
      <c r="H86" s="5" t="inlineStr">
        <is>
          <t>Bucks</t>
        </is>
      </c>
      <c r="I86" s="8" t="inlineStr">
        <is>
          <t>Not called</t>
        </is>
      </c>
      <c r="J86" s="9" t="n"/>
      <c r="K86" s="8" t="n"/>
      <c r="L86" s="9" t="n"/>
      <c r="M86" s="8" t="inlineStr">
        <is>
          <t>Older listing: confirm the business and contact are current.</t>
        </is>
      </c>
      <c r="N86" s="5" t="inlineStr">
        <is>
          <t>Ask for the owner.</t>
        </is>
      </c>
      <c r="O86" s="5" t="inlineStr">
        <is>
          <t>phillymag.com (older listing)</t>
        </is>
      </c>
    </row>
    <row r="87">
      <c r="A87" s="5" t="n">
        <v>86</v>
      </c>
      <c r="B87" s="10" t="inlineStr">
        <is>
          <t>B</t>
        </is>
      </c>
      <c r="C87" s="5" t="inlineStr">
        <is>
          <t>Lotus Salon and Day Spa</t>
        </is>
      </c>
      <c r="D87" s="5" t="inlineStr">
        <is>
          <t>Salon/spa</t>
        </is>
      </c>
      <c r="E87" s="7" t="inlineStr">
        <is>
          <t>(215) 968-3700</t>
        </is>
      </c>
      <c r="F87" s="5" t="inlineStr">
        <is>
          <t>2844 S Eagle Rd</t>
        </is>
      </c>
      <c r="G87" s="5" t="inlineStr">
        <is>
          <t>Newtown</t>
        </is>
      </c>
      <c r="H87" s="5" t="inlineStr">
        <is>
          <t>Bucks</t>
        </is>
      </c>
      <c r="I87" s="8" t="inlineStr">
        <is>
          <t>Not called</t>
        </is>
      </c>
      <c r="J87" s="9" t="n"/>
      <c r="K87" s="8" t="n"/>
      <c r="L87" s="9" t="n"/>
      <c r="M87" s="8" t="n"/>
      <c r="N87" s="5" t="inlineStr">
        <is>
          <t>Ask for the owner.</t>
        </is>
      </c>
      <c r="O87" s="5" t="inlineStr">
        <is>
          <t>bbb.org listing</t>
        </is>
      </c>
    </row>
    <row r="88">
      <c r="A88" s="5" t="n">
        <v>87</v>
      </c>
      <c r="B88" s="10" t="inlineStr">
        <is>
          <t>B</t>
        </is>
      </c>
      <c r="C88" s="5" t="inlineStr">
        <is>
          <t>Newtown Antiques</t>
        </is>
      </c>
      <c r="D88" s="5" t="inlineStr">
        <is>
          <t>Retail - antiques</t>
        </is>
      </c>
      <c r="E88" s="7" t="inlineStr">
        <is>
          <t>(215) 968-6475</t>
        </is>
      </c>
      <c r="F88" s="5" t="inlineStr">
        <is>
          <t>149 N State St</t>
        </is>
      </c>
      <c r="G88" s="5" t="inlineStr">
        <is>
          <t>Newtown</t>
        </is>
      </c>
      <c r="H88" s="5" t="inlineStr">
        <is>
          <t>Bucks</t>
        </is>
      </c>
      <c r="I88" s="8" t="inlineStr">
        <is>
          <t>Not called</t>
        </is>
      </c>
      <c r="J88" s="9" t="n"/>
      <c r="K88" s="8" t="n"/>
      <c r="L88" s="9" t="n"/>
      <c r="M88" s="8" t="inlineStr">
        <is>
          <t>Older listing: confirm the business and contact are current.</t>
        </is>
      </c>
      <c r="N88" s="5" t="inlineStr">
        <is>
          <t>Ask for the owner.</t>
        </is>
      </c>
      <c r="O88" s="5" t="inlineStr">
        <is>
          <t>phillymag.com (older listing)</t>
        </is>
      </c>
    </row>
    <row r="89">
      <c r="A89" s="5" t="n">
        <v>88</v>
      </c>
      <c r="B89" s="10" t="inlineStr">
        <is>
          <t>B</t>
        </is>
      </c>
      <c r="C89" s="5" t="inlineStr">
        <is>
          <t>Newtown Clock Shoppe</t>
        </is>
      </c>
      <c r="D89" s="5" t="inlineStr">
        <is>
          <t>Retail - clocks/antiques</t>
        </is>
      </c>
      <c r="E89" s="7" t="inlineStr">
        <is>
          <t>(215) 968-3331</t>
        </is>
      </c>
      <c r="F89" s="5" t="inlineStr">
        <is>
          <t>121 S State St</t>
        </is>
      </c>
      <c r="G89" s="5" t="inlineStr">
        <is>
          <t>Newtown</t>
        </is>
      </c>
      <c r="H89" s="5" t="inlineStr">
        <is>
          <t>Bucks</t>
        </is>
      </c>
      <c r="I89" s="8" t="inlineStr">
        <is>
          <t>Not called</t>
        </is>
      </c>
      <c r="J89" s="9" t="n"/>
      <c r="K89" s="8" t="n"/>
      <c r="L89" s="9" t="n"/>
      <c r="M89" s="8" t="inlineStr">
        <is>
          <t>Older listing: confirm the business and contact are current.</t>
        </is>
      </c>
      <c r="N89" s="5" t="inlineStr">
        <is>
          <t>Ask for the owner.</t>
        </is>
      </c>
      <c r="O89" s="5" t="inlineStr">
        <is>
          <t>phillymag.com (older listing)</t>
        </is>
      </c>
    </row>
    <row r="90">
      <c r="A90" s="5" t="n">
        <v>89</v>
      </c>
      <c r="B90" s="10" t="inlineStr">
        <is>
          <t>B</t>
        </is>
      </c>
      <c r="C90" s="5" t="inlineStr">
        <is>
          <t>Newtown Design Group</t>
        </is>
      </c>
      <c r="D90" s="5" t="inlineStr">
        <is>
          <t>Retail - interior design</t>
        </is>
      </c>
      <c r="E90" s="7" t="inlineStr">
        <is>
          <t>(215) 968-4828</t>
        </is>
      </c>
      <c r="F90" s="5" t="inlineStr">
        <is>
          <t>9 N State St</t>
        </is>
      </c>
      <c r="G90" s="5" t="inlineStr">
        <is>
          <t>Newtown</t>
        </is>
      </c>
      <c r="H90" s="5" t="inlineStr">
        <is>
          <t>Bucks</t>
        </is>
      </c>
      <c r="I90" s="8" t="inlineStr">
        <is>
          <t>Not called</t>
        </is>
      </c>
      <c r="J90" s="9" t="n"/>
      <c r="K90" s="8" t="n"/>
      <c r="L90" s="9" t="n"/>
      <c r="M90" s="8" t="inlineStr">
        <is>
          <t>Older listing: confirm the business and contact are current.</t>
        </is>
      </c>
      <c r="N90" s="5" t="inlineStr">
        <is>
          <t>Ask for the owner.</t>
        </is>
      </c>
      <c r="O90" s="5" t="inlineStr">
        <is>
          <t>phillymag.com (older listing)</t>
        </is>
      </c>
    </row>
    <row r="91">
      <c r="A91" s="5" t="n">
        <v>90</v>
      </c>
      <c r="B91" s="10" t="inlineStr">
        <is>
          <t>B</t>
        </is>
      </c>
      <c r="C91" s="5" t="inlineStr">
        <is>
          <t>Pennswood Village</t>
        </is>
      </c>
      <c r="D91" s="5" t="inlineStr">
        <is>
          <t>Senior living</t>
        </is>
      </c>
      <c r="E91" s="7" t="inlineStr">
        <is>
          <t>(215) 968-9110</t>
        </is>
      </c>
      <c r="F91" s="5" t="inlineStr">
        <is>
          <t>1382 Newtown-Langhorne Rd</t>
        </is>
      </c>
      <c r="G91" s="5" t="inlineStr">
        <is>
          <t>Newtown</t>
        </is>
      </c>
      <c r="H91" s="5" t="inlineStr">
        <is>
          <t>Bucks</t>
        </is>
      </c>
      <c r="I91" s="8" t="inlineStr">
        <is>
          <t>Not called</t>
        </is>
      </c>
      <c r="J91" s="9" t="n"/>
      <c r="K91" s="8" t="n"/>
      <c r="L91" s="9" t="n"/>
      <c r="M91" s="8" t="n"/>
      <c r="N91" s="5" t="inlineStr">
        <is>
          <t>Ask for the executive director or facilities director.</t>
        </is>
      </c>
      <c r="O91" s="5" t="inlineStr">
        <is>
          <t>pa211.org</t>
        </is>
      </c>
    </row>
    <row r="92">
      <c r="A92" s="5" t="n">
        <v>91</v>
      </c>
      <c r="B92" s="10" t="inlineStr">
        <is>
          <t>B</t>
        </is>
      </c>
      <c r="C92" s="5" t="inlineStr">
        <is>
          <t>The Nest</t>
        </is>
      </c>
      <c r="D92" s="5" t="inlineStr">
        <is>
          <t>Retail - home decor</t>
        </is>
      </c>
      <c r="E92" s="7" t="inlineStr">
        <is>
          <t>(215) 860-5501</t>
        </is>
      </c>
      <c r="F92" s="5" t="inlineStr">
        <is>
          <t>14 S State St</t>
        </is>
      </c>
      <c r="G92" s="5" t="inlineStr">
        <is>
          <t>Newtown</t>
        </is>
      </c>
      <c r="H92" s="5" t="inlineStr">
        <is>
          <t>Bucks</t>
        </is>
      </c>
      <c r="I92" s="8" t="inlineStr">
        <is>
          <t>Not called</t>
        </is>
      </c>
      <c r="J92" s="9" t="n"/>
      <c r="K92" s="8" t="n"/>
      <c r="L92" s="9" t="n"/>
      <c r="M92" s="8" t="inlineStr">
        <is>
          <t>Older listing: confirm the business and contact are current.</t>
        </is>
      </c>
      <c r="N92" s="5" t="inlineStr">
        <is>
          <t>Ask for the owner.</t>
        </is>
      </c>
      <c r="O92" s="5" t="inlineStr">
        <is>
          <t>phillymag.com (older listing)</t>
        </is>
      </c>
    </row>
    <row r="93">
      <c r="A93" s="5" t="n">
        <v>92</v>
      </c>
      <c r="B93" s="10" t="inlineStr">
        <is>
          <t>B</t>
        </is>
      </c>
      <c r="C93" s="5" t="inlineStr">
        <is>
          <t>Anthony's Italian Coffee House</t>
        </is>
      </c>
      <c r="D93" s="5" t="inlineStr">
        <is>
          <t>Cafe</t>
        </is>
      </c>
      <c r="E93" s="7" t="inlineStr">
        <is>
          <t>(215) 538-9820</t>
        </is>
      </c>
      <c r="F93" s="5" t="inlineStr">
        <is>
          <t>412 W Broad St</t>
        </is>
      </c>
      <c r="G93" s="5" t="inlineStr">
        <is>
          <t>Quakertown</t>
        </is>
      </c>
      <c r="H93" s="5" t="inlineStr">
        <is>
          <t>Bucks</t>
        </is>
      </c>
      <c r="I93" s="8" t="inlineStr">
        <is>
          <t>Not called</t>
        </is>
      </c>
      <c r="J93" s="9" t="n"/>
      <c r="K93" s="8" t="n"/>
      <c r="L93" s="9" t="n"/>
      <c r="M93" s="8" t="n"/>
      <c r="N93" s="5" t="inlineStr">
        <is>
          <t>Ask for the owner or GM. Call 2-4pm, between lunch and dinner.</t>
        </is>
      </c>
      <c r="O93" s="5" t="inlineStr">
        <is>
          <t>quakertown.org</t>
        </is>
      </c>
    </row>
    <row r="94">
      <c r="A94" s="5" t="n">
        <v>93</v>
      </c>
      <c r="B94" s="10" t="inlineStr">
        <is>
          <t>B</t>
        </is>
      </c>
      <c r="C94" s="5" t="inlineStr">
        <is>
          <t>El Tapatio Mexican Restaurant</t>
        </is>
      </c>
      <c r="D94" s="5" t="inlineStr">
        <is>
          <t>Restaurant</t>
        </is>
      </c>
      <c r="E94" s="7" t="inlineStr">
        <is>
          <t>(215) 538-3100</t>
        </is>
      </c>
      <c r="F94" s="5" t="inlineStr">
        <is>
          <t>520 W Broad St</t>
        </is>
      </c>
      <c r="G94" s="5" t="inlineStr">
        <is>
          <t>Quakertown</t>
        </is>
      </c>
      <c r="H94" s="5" t="inlineStr">
        <is>
          <t>Bucks</t>
        </is>
      </c>
      <c r="I94" s="8" t="inlineStr">
        <is>
          <t>Not called</t>
        </is>
      </c>
      <c r="J94" s="9" t="n"/>
      <c r="K94" s="8" t="n"/>
      <c r="L94" s="9" t="n"/>
      <c r="M94" s="8" t="n"/>
      <c r="N94" s="5" t="inlineStr">
        <is>
          <t>Ask for the owner or GM. Call 2-4pm, between lunch and dinner.</t>
        </is>
      </c>
      <c r="O94" s="5" t="inlineStr">
        <is>
          <t>quakertown.org</t>
        </is>
      </c>
    </row>
    <row r="95">
      <c r="A95" s="5" t="n">
        <v>94</v>
      </c>
      <c r="B95" s="10" t="inlineStr">
        <is>
          <t>B</t>
        </is>
      </c>
      <c r="C95" s="5" t="inlineStr">
        <is>
          <t>Illiano's Ristorante</t>
        </is>
      </c>
      <c r="D95" s="5" t="inlineStr">
        <is>
          <t>Restaurant</t>
        </is>
      </c>
      <c r="E95" s="7" t="inlineStr">
        <is>
          <t>(215) 538-1111</t>
        </is>
      </c>
      <c r="F95" s="5" t="inlineStr">
        <is>
          <t>232 W Broad St</t>
        </is>
      </c>
      <c r="G95" s="5" t="inlineStr">
        <is>
          <t>Quakertown</t>
        </is>
      </c>
      <c r="H95" s="5" t="inlineStr">
        <is>
          <t>Bucks</t>
        </is>
      </c>
      <c r="I95" s="8" t="inlineStr">
        <is>
          <t>Not called</t>
        </is>
      </c>
      <c r="J95" s="9" t="n"/>
      <c r="K95" s="8" t="n"/>
      <c r="L95" s="9" t="n"/>
      <c r="M95" s="8" t="n"/>
      <c r="N95" s="5" t="inlineStr">
        <is>
          <t>Ask for the owner or GM. Call 2-4pm, between lunch and dinner.</t>
        </is>
      </c>
      <c r="O95" s="5" t="inlineStr">
        <is>
          <t>quakertown.org</t>
        </is>
      </c>
    </row>
    <row r="96">
      <c r="A96" s="5" t="n">
        <v>95</v>
      </c>
      <c r="B96" s="10" t="inlineStr">
        <is>
          <t>B</t>
        </is>
      </c>
      <c r="C96" s="5" t="inlineStr">
        <is>
          <t>Meyers Restaurant</t>
        </is>
      </c>
      <c r="D96" s="5" t="inlineStr">
        <is>
          <t>Restaurant</t>
        </is>
      </c>
      <c r="E96" s="7" t="inlineStr">
        <is>
          <t>(215) 536-4422</t>
        </is>
      </c>
      <c r="F96" s="5" t="inlineStr">
        <is>
          <t>501 N West End Blvd</t>
        </is>
      </c>
      <c r="G96" s="5" t="inlineStr">
        <is>
          <t>Quakertown</t>
        </is>
      </c>
      <c r="H96" s="5" t="inlineStr">
        <is>
          <t>Bucks</t>
        </is>
      </c>
      <c r="I96" s="8" t="inlineStr">
        <is>
          <t>Not called</t>
        </is>
      </c>
      <c r="J96" s="9" t="n"/>
      <c r="K96" s="8" t="n"/>
      <c r="L96" s="9" t="n"/>
      <c r="M96" s="8" t="n"/>
      <c r="N96" s="5" t="inlineStr">
        <is>
          <t>Ask for the owner or GM. Call 2-4pm, between lunch and dinner.</t>
        </is>
      </c>
      <c r="O96" s="5" t="inlineStr">
        <is>
          <t>quakertown.org</t>
        </is>
      </c>
    </row>
    <row r="97">
      <c r="A97" s="5" t="n">
        <v>96</v>
      </c>
      <c r="B97" s="10" t="inlineStr">
        <is>
          <t>B</t>
        </is>
      </c>
      <c r="C97" s="5" t="inlineStr">
        <is>
          <t>Rossi's Pizza</t>
        </is>
      </c>
      <c r="D97" s="5" t="inlineStr">
        <is>
          <t>Restaurant</t>
        </is>
      </c>
      <c r="E97" s="7" t="inlineStr">
        <is>
          <t>(215) 536-8993</t>
        </is>
      </c>
      <c r="F97" s="5" t="inlineStr">
        <is>
          <t>17 Quakers Way</t>
        </is>
      </c>
      <c r="G97" s="5" t="inlineStr">
        <is>
          <t>Quakertown</t>
        </is>
      </c>
      <c r="H97" s="5" t="inlineStr">
        <is>
          <t>Bucks</t>
        </is>
      </c>
      <c r="I97" s="8" t="inlineStr">
        <is>
          <t>Not called</t>
        </is>
      </c>
      <c r="J97" s="9" t="n"/>
      <c r="K97" s="8" t="n"/>
      <c r="L97" s="9" t="n"/>
      <c r="M97" s="8" t="n"/>
      <c r="N97" s="5" t="inlineStr">
        <is>
          <t>Ask for the owner or GM. Call 2-4pm, between lunch and dinner.</t>
        </is>
      </c>
      <c r="O97" s="5" t="inlineStr">
        <is>
          <t>frankiapp.com</t>
        </is>
      </c>
    </row>
    <row r="98">
      <c r="A98" s="5" t="n">
        <v>97</v>
      </c>
      <c r="B98" s="10" t="inlineStr">
        <is>
          <t>B</t>
        </is>
      </c>
      <c r="C98" s="5" t="inlineStr">
        <is>
          <t>The Spinner's Restaurant</t>
        </is>
      </c>
      <c r="D98" s="5" t="inlineStr">
        <is>
          <t>Restaurant</t>
        </is>
      </c>
      <c r="E98" s="7" t="inlineStr">
        <is>
          <t>(215) 536-5040</t>
        </is>
      </c>
      <c r="F98" s="5" t="inlineStr">
        <is>
          <t>421 W Broad St</t>
        </is>
      </c>
      <c r="G98" s="5" t="inlineStr">
        <is>
          <t>Quakertown</t>
        </is>
      </c>
      <c r="H98" s="5" t="inlineStr">
        <is>
          <t>Bucks</t>
        </is>
      </c>
      <c r="I98" s="8" t="inlineStr">
        <is>
          <t>Not called</t>
        </is>
      </c>
      <c r="J98" s="9" t="n"/>
      <c r="K98" s="8" t="n"/>
      <c r="L98" s="9" t="n"/>
      <c r="M98" s="8" t="n"/>
      <c r="N98" s="5" t="inlineStr">
        <is>
          <t>Ask for the owner or GM. Call 2-4pm, between lunch and dinner.</t>
        </is>
      </c>
      <c r="O98" s="5" t="inlineStr">
        <is>
          <t>quakertown.org</t>
        </is>
      </c>
    </row>
    <row r="99">
      <c r="A99" s="5" t="n">
        <v>98</v>
      </c>
      <c r="B99" s="10" t="inlineStr">
        <is>
          <t>B</t>
        </is>
      </c>
      <c r="C99" s="5" t="inlineStr">
        <is>
          <t>59 Almshouse</t>
        </is>
      </c>
      <c r="D99" s="5" t="inlineStr">
        <is>
          <t>Restaurant</t>
        </is>
      </c>
      <c r="E99" s="7" t="inlineStr">
        <is>
          <t>(215) 355-5959</t>
        </is>
      </c>
      <c r="F99" s="5" t="inlineStr">
        <is>
          <t>59 Almshouse Rd</t>
        </is>
      </c>
      <c r="G99" s="5" t="inlineStr">
        <is>
          <t>Richboro</t>
        </is>
      </c>
      <c r="H99" s="5" t="inlineStr">
        <is>
          <t>Bucks</t>
        </is>
      </c>
      <c r="I99" s="8" t="inlineStr">
        <is>
          <t>Not called</t>
        </is>
      </c>
      <c r="J99" s="9" t="n"/>
      <c r="K99" s="8" t="n"/>
      <c r="L99" s="9" t="n"/>
      <c r="M99" s="8" t="n"/>
      <c r="N99" s="5" t="inlineStr">
        <is>
          <t>Ask for the owner or GM. Call 2-4pm, between lunch and dinner.</t>
        </is>
      </c>
      <c r="O99" s="5" t="inlineStr">
        <is>
          <t>aaa.com</t>
        </is>
      </c>
    </row>
    <row r="100">
      <c r="A100" s="5" t="n">
        <v>99</v>
      </c>
      <c r="B100" s="10" t="inlineStr">
        <is>
          <t>B</t>
        </is>
      </c>
      <c r="C100" s="5" t="inlineStr">
        <is>
          <t>Chef Joe's Homemade Food</t>
        </is>
      </c>
      <c r="D100" s="5" t="inlineStr">
        <is>
          <t>Restaurant</t>
        </is>
      </c>
      <c r="E100" s="7" t="inlineStr">
        <is>
          <t>(215) 322-7107</t>
        </is>
      </c>
      <c r="F100" s="5" t="inlineStr">
        <is>
          <t>130 Almshouse Rd</t>
        </is>
      </c>
      <c r="G100" s="5" t="inlineStr">
        <is>
          <t>Richboro</t>
        </is>
      </c>
      <c r="H100" s="5" t="inlineStr">
        <is>
          <t>Bucks</t>
        </is>
      </c>
      <c r="I100" s="8" t="inlineStr">
        <is>
          <t>Not called</t>
        </is>
      </c>
      <c r="J100" s="9" t="n"/>
      <c r="K100" s="8" t="n"/>
      <c r="L100" s="9" t="n"/>
      <c r="M100" s="8" t="inlineStr">
        <is>
          <t>Directory listing: confirm the number on the first call.</t>
        </is>
      </c>
      <c r="N100" s="5" t="inlineStr">
        <is>
          <t>Ask for the owner or GM. Call 2-4pm, between lunch and dinner.</t>
        </is>
      </c>
      <c r="O100" s="5" t="inlineStr">
        <is>
          <t>city-data.com</t>
        </is>
      </c>
    </row>
    <row r="101">
      <c r="A101" s="5" t="n">
        <v>100</v>
      </c>
      <c r="B101" s="10" t="inlineStr">
        <is>
          <t>B</t>
        </is>
      </c>
      <c r="C101" s="5" t="inlineStr">
        <is>
          <t>Confection Perfection &amp; Co</t>
        </is>
      </c>
      <c r="D101" s="5" t="inlineStr">
        <is>
          <t>Bakery</t>
        </is>
      </c>
      <c r="E101" s="7" t="inlineStr">
        <is>
          <t>(215) 357-8211</t>
        </is>
      </c>
      <c r="F101" s="5" t="inlineStr">
        <is>
          <t>130 Almshouse Rd #301B</t>
        </is>
      </c>
      <c r="G101" s="5" t="inlineStr">
        <is>
          <t>Richboro</t>
        </is>
      </c>
      <c r="H101" s="5" t="inlineStr">
        <is>
          <t>Bucks</t>
        </is>
      </c>
      <c r="I101" s="8" t="inlineStr">
        <is>
          <t>Not called</t>
        </is>
      </c>
      <c r="J101" s="9" t="n"/>
      <c r="K101" s="8" t="n"/>
      <c r="L101" s="9" t="n"/>
      <c r="M101" s="8" t="inlineStr">
        <is>
          <t>Directory listing: confirm the number on the first call.</t>
        </is>
      </c>
      <c r="N101" s="5" t="inlineStr">
        <is>
          <t>Ask for the owner or GM. Call 2-4pm, between lunch and dinner.</t>
        </is>
      </c>
      <c r="O101" s="5" t="inlineStr">
        <is>
          <t>city-data.com</t>
        </is>
      </c>
    </row>
    <row r="102">
      <c r="A102" s="5" t="n">
        <v>101</v>
      </c>
      <c r="B102" s="10" t="inlineStr">
        <is>
          <t>B</t>
        </is>
      </c>
      <c r="C102" s="5" t="inlineStr">
        <is>
          <t>Fresh Works of Richboro</t>
        </is>
      </c>
      <c r="D102" s="5" t="inlineStr">
        <is>
          <t>Restaurant</t>
        </is>
      </c>
      <c r="E102" s="7" t="inlineStr">
        <is>
          <t>(215) 396-0900</t>
        </is>
      </c>
      <c r="F102" s="5" t="inlineStr">
        <is>
          <t>800 Bustleton Pike #2</t>
        </is>
      </c>
      <c r="G102" s="5" t="inlineStr">
        <is>
          <t>Richboro</t>
        </is>
      </c>
      <c r="H102" s="5" t="inlineStr">
        <is>
          <t>Bucks</t>
        </is>
      </c>
      <c r="I102" s="8" t="inlineStr">
        <is>
          <t>Not called</t>
        </is>
      </c>
      <c r="J102" s="9" t="n"/>
      <c r="K102" s="8" t="n"/>
      <c r="L102" s="9" t="n"/>
      <c r="M102" s="8" t="inlineStr">
        <is>
          <t>Directory listing: confirm the number on the first call.</t>
        </is>
      </c>
      <c r="N102" s="5" t="inlineStr">
        <is>
          <t>Ask for the owner or GM. Call 2-4pm, between lunch and dinner.</t>
        </is>
      </c>
      <c r="O102" s="5" t="inlineStr">
        <is>
          <t>city-data.com</t>
        </is>
      </c>
    </row>
    <row r="103">
      <c r="A103" s="5" t="n">
        <v>102</v>
      </c>
      <c r="B103" s="10" t="inlineStr">
        <is>
          <t>B</t>
        </is>
      </c>
      <c r="C103" s="5" t="inlineStr">
        <is>
          <t>Uva Richboro</t>
        </is>
      </c>
      <c r="D103" s="5" t="inlineStr">
        <is>
          <t>Restaurant</t>
        </is>
      </c>
      <c r="E103" s="7" t="inlineStr">
        <is>
          <t>(215) 355-4454</t>
        </is>
      </c>
      <c r="F103" s="5" t="inlineStr"/>
      <c r="G103" s="5" t="inlineStr">
        <is>
          <t>Richboro</t>
        </is>
      </c>
      <c r="H103" s="5" t="inlineStr">
        <is>
          <t>Bucks</t>
        </is>
      </c>
      <c r="I103" s="8" t="inlineStr">
        <is>
          <t>Not called</t>
        </is>
      </c>
      <c r="J103" s="9" t="n"/>
      <c r="K103" s="8" t="n"/>
      <c r="L103" s="9" t="n"/>
      <c r="M103" s="8" t="n"/>
      <c r="N103" s="5" t="inlineStr">
        <is>
          <t>Ask for the owner or GM. Call 2-4pm, between lunch and dinner.</t>
        </is>
      </c>
      <c r="O103" s="5" t="inlineStr">
        <is>
          <t>aaa.com</t>
        </is>
      </c>
    </row>
    <row r="104">
      <c r="A104" s="5" t="n">
        <v>103</v>
      </c>
      <c r="B104" s="10" t="inlineStr">
        <is>
          <t>B</t>
        </is>
      </c>
      <c r="C104" s="5" t="inlineStr">
        <is>
          <t>Angelo's Family Restaurant</t>
        </is>
      </c>
      <c r="D104" s="5" t="inlineStr">
        <is>
          <t>Restaurant</t>
        </is>
      </c>
      <c r="E104" s="7" t="inlineStr">
        <is>
          <t>(215) 257-0491</t>
        </is>
      </c>
      <c r="F104" s="5" t="inlineStr">
        <is>
          <t>321 S Main St</t>
        </is>
      </c>
      <c r="G104" s="5" t="inlineStr">
        <is>
          <t>Sellersville</t>
        </is>
      </c>
      <c r="H104" s="5" t="inlineStr">
        <is>
          <t>Bucks</t>
        </is>
      </c>
      <c r="I104" s="8" t="inlineStr">
        <is>
          <t>Not called</t>
        </is>
      </c>
      <c r="J104" s="9" t="n"/>
      <c r="K104" s="8" t="n"/>
      <c r="L104" s="9" t="n"/>
      <c r="M104" s="8" t="n"/>
      <c r="N104" s="5" t="inlineStr">
        <is>
          <t>Ask for the owner or GM. Call 2-4pm, between lunch and dinner.</t>
        </is>
      </c>
      <c r="O104" s="5" t="inlineStr">
        <is>
          <t>explorepahistory.com</t>
        </is>
      </c>
    </row>
    <row r="105">
      <c r="A105" s="5" t="n">
        <v>104</v>
      </c>
      <c r="B105" s="10" t="inlineStr">
        <is>
          <t>B</t>
        </is>
      </c>
      <c r="C105" s="5" t="inlineStr">
        <is>
          <t>Royann Diner</t>
        </is>
      </c>
      <c r="D105" s="5" t="inlineStr">
        <is>
          <t>Restaurant</t>
        </is>
      </c>
      <c r="E105" s="7" t="inlineStr">
        <is>
          <t>(215) 257-4089</t>
        </is>
      </c>
      <c r="F105" s="5" t="inlineStr">
        <is>
          <t>1318 Rte 309</t>
        </is>
      </c>
      <c r="G105" s="5" t="inlineStr">
        <is>
          <t>Sellersville</t>
        </is>
      </c>
      <c r="H105" s="5" t="inlineStr">
        <is>
          <t>Bucks</t>
        </is>
      </c>
      <c r="I105" s="8" t="inlineStr">
        <is>
          <t>Not called</t>
        </is>
      </c>
      <c r="J105" s="9" t="n"/>
      <c r="K105" s="8" t="n"/>
      <c r="L105" s="9" t="n"/>
      <c r="M105" s="8" t="n"/>
      <c r="N105" s="5" t="inlineStr">
        <is>
          <t>Ask for the owner or GM. Call 2-4pm, between lunch and dinner.</t>
        </is>
      </c>
      <c r="O105" s="5" t="inlineStr">
        <is>
          <t>explorepahistory.com</t>
        </is>
      </c>
    </row>
    <row r="106">
      <c r="A106" s="5" t="n">
        <v>105</v>
      </c>
      <c r="B106" s="10" t="inlineStr">
        <is>
          <t>B</t>
        </is>
      </c>
      <c r="C106" s="5" t="inlineStr">
        <is>
          <t>Amici Restaurant</t>
        </is>
      </c>
      <c r="D106" s="5" t="inlineStr">
        <is>
          <t>Restaurant</t>
        </is>
      </c>
      <c r="E106" s="7" t="inlineStr">
        <is>
          <t>(215) 394-8278</t>
        </is>
      </c>
      <c r="F106" s="5" t="inlineStr">
        <is>
          <t>336 York Rd</t>
        </is>
      </c>
      <c r="G106" s="5" t="inlineStr">
        <is>
          <t>Warminster</t>
        </is>
      </c>
      <c r="H106" s="5" t="inlineStr">
        <is>
          <t>Bucks</t>
        </is>
      </c>
      <c r="I106" s="8" t="inlineStr">
        <is>
          <t>Not called</t>
        </is>
      </c>
      <c r="J106" s="9" t="n"/>
      <c r="K106" s="8" t="n"/>
      <c r="L106" s="9" t="n"/>
      <c r="M106" s="8" t="inlineStr">
        <is>
          <t>Directory listing: confirm the number on the first call.</t>
        </is>
      </c>
      <c r="N106" s="5" t="inlineStr">
        <is>
          <t>Ask for the owner or GM. Call 2-4pm, between lunch and dinner.</t>
        </is>
      </c>
      <c r="O106" s="5" t="inlineStr">
        <is>
          <t>city-data.com</t>
        </is>
      </c>
    </row>
    <row r="107">
      <c r="A107" s="5" t="n">
        <v>106</v>
      </c>
      <c r="B107" s="10" t="inlineStr">
        <is>
          <t>B</t>
        </is>
      </c>
      <c r="C107" s="5" t="inlineStr">
        <is>
          <t>Ann's Choice (Erickson Senior Living)</t>
        </is>
      </c>
      <c r="D107" s="5" t="inlineStr">
        <is>
          <t>Senior living</t>
        </is>
      </c>
      <c r="E107" s="7" t="inlineStr">
        <is>
          <t>(215) 672-2900</t>
        </is>
      </c>
      <c r="F107" s="5" t="inlineStr">
        <is>
          <t>30000 Ann's Choice Way</t>
        </is>
      </c>
      <c r="G107" s="5" t="inlineStr">
        <is>
          <t>Warminster</t>
        </is>
      </c>
      <c r="H107" s="5" t="inlineStr">
        <is>
          <t>Bucks</t>
        </is>
      </c>
      <c r="I107" s="8" t="inlineStr">
        <is>
          <t>Not called</t>
        </is>
      </c>
      <c r="J107" s="9" t="n"/>
      <c r="K107" s="8" t="n"/>
      <c r="L107" s="9" t="n"/>
      <c r="M107" s="8" t="n"/>
      <c r="N107" s="5" t="inlineStr">
        <is>
          <t>Ask for the executive director or facilities director.</t>
        </is>
      </c>
      <c r="O107" s="5" t="inlineStr">
        <is>
          <t>aplaceformom.com / teaandslippers.com</t>
        </is>
      </c>
    </row>
    <row r="108">
      <c r="A108" s="5" t="n">
        <v>107</v>
      </c>
      <c r="B108" s="10" t="inlineStr">
        <is>
          <t>B</t>
        </is>
      </c>
      <c r="C108" s="5" t="inlineStr">
        <is>
          <t>China Dragon Restaurant</t>
        </is>
      </c>
      <c r="D108" s="5" t="inlineStr">
        <is>
          <t>Restaurant</t>
        </is>
      </c>
      <c r="E108" s="7" t="inlineStr">
        <is>
          <t>(215) 394-5888</t>
        </is>
      </c>
      <c r="F108" s="5" t="inlineStr">
        <is>
          <t>882 Jacksonville Rd #201</t>
        </is>
      </c>
      <c r="G108" s="5" t="inlineStr">
        <is>
          <t>Warminster</t>
        </is>
      </c>
      <c r="H108" s="5" t="inlineStr">
        <is>
          <t>Bucks</t>
        </is>
      </c>
      <c r="I108" s="8" t="inlineStr">
        <is>
          <t>Not called</t>
        </is>
      </c>
      <c r="J108" s="9" t="n"/>
      <c r="K108" s="8" t="n"/>
      <c r="L108" s="9" t="n"/>
      <c r="M108" s="8" t="inlineStr">
        <is>
          <t>Directory listing: confirm the number on the first call.</t>
        </is>
      </c>
      <c r="N108" s="5" t="inlineStr">
        <is>
          <t>Ask for the owner or GM. Call 2-4pm, between lunch and dinner.</t>
        </is>
      </c>
      <c r="O108" s="5" t="inlineStr">
        <is>
          <t>city-data.com</t>
        </is>
      </c>
    </row>
    <row r="109">
      <c r="A109" s="5" t="n">
        <v>108</v>
      </c>
      <c r="B109" s="10" t="inlineStr">
        <is>
          <t>B</t>
        </is>
      </c>
      <c r="C109" s="5" t="inlineStr">
        <is>
          <t>Eagle Diner</t>
        </is>
      </c>
      <c r="D109" s="5" t="inlineStr">
        <is>
          <t>Restaurant</t>
        </is>
      </c>
      <c r="E109" s="7" t="inlineStr">
        <is>
          <t>(215) 672-8228</t>
        </is>
      </c>
      <c r="F109" s="5" t="inlineStr">
        <is>
          <t>739 W Street Rd</t>
        </is>
      </c>
      <c r="G109" s="5" t="inlineStr">
        <is>
          <t>Warminster</t>
        </is>
      </c>
      <c r="H109" s="5" t="inlineStr">
        <is>
          <t>Bucks</t>
        </is>
      </c>
      <c r="I109" s="8" t="inlineStr">
        <is>
          <t>Not called</t>
        </is>
      </c>
      <c r="J109" s="9" t="n"/>
      <c r="K109" s="8" t="n"/>
      <c r="L109" s="9" t="n"/>
      <c r="M109" s="8" t="inlineStr">
        <is>
          <t>Directory listing: confirm the number on the first call.</t>
        </is>
      </c>
      <c r="N109" s="5" t="inlineStr">
        <is>
          <t>Ask for the owner or GM. Call 2-4pm, between lunch and dinner.</t>
        </is>
      </c>
      <c r="O109" s="5" t="inlineStr">
        <is>
          <t>city-data.com</t>
        </is>
      </c>
    </row>
    <row r="110">
      <c r="A110" s="5" t="n">
        <v>109</v>
      </c>
      <c r="B110" s="10" t="inlineStr">
        <is>
          <t>B</t>
        </is>
      </c>
      <c r="C110" s="5" t="inlineStr">
        <is>
          <t>Golden Wok</t>
        </is>
      </c>
      <c r="D110" s="5" t="inlineStr">
        <is>
          <t>Restaurant</t>
        </is>
      </c>
      <c r="E110" s="7" t="inlineStr">
        <is>
          <t>(215) 672-8835</t>
        </is>
      </c>
      <c r="F110" s="5" t="inlineStr">
        <is>
          <t>75 York Rd</t>
        </is>
      </c>
      <c r="G110" s="5" t="inlineStr">
        <is>
          <t>Warminster</t>
        </is>
      </c>
      <c r="H110" s="5" t="inlineStr">
        <is>
          <t>Bucks</t>
        </is>
      </c>
      <c r="I110" s="8" t="inlineStr">
        <is>
          <t>Not called</t>
        </is>
      </c>
      <c r="J110" s="9" t="n"/>
      <c r="K110" s="8" t="n"/>
      <c r="L110" s="9" t="n"/>
      <c r="M110" s="8" t="inlineStr">
        <is>
          <t>Directory listing: confirm the number on the first call.</t>
        </is>
      </c>
      <c r="N110" s="5" t="inlineStr">
        <is>
          <t>Ask for the owner or GM. Call 2-4pm, between lunch and dinner.</t>
        </is>
      </c>
      <c r="O110" s="5" t="inlineStr">
        <is>
          <t>city-data.com</t>
        </is>
      </c>
    </row>
    <row r="111">
      <c r="A111" s="5" t="n">
        <v>110</v>
      </c>
      <c r="B111" s="10" t="inlineStr">
        <is>
          <t>B</t>
        </is>
      </c>
      <c r="C111" s="5" t="inlineStr">
        <is>
          <t>Hunan City Restaurant</t>
        </is>
      </c>
      <c r="D111" s="5" t="inlineStr">
        <is>
          <t>Restaurant</t>
        </is>
      </c>
      <c r="E111" s="7" t="inlineStr">
        <is>
          <t>(215) 957-0238</t>
        </is>
      </c>
      <c r="F111" s="5" t="inlineStr">
        <is>
          <t>1539 W Street Rd</t>
        </is>
      </c>
      <c r="G111" s="5" t="inlineStr">
        <is>
          <t>Warminster</t>
        </is>
      </c>
      <c r="H111" s="5" t="inlineStr">
        <is>
          <t>Bucks</t>
        </is>
      </c>
      <c r="I111" s="8" t="inlineStr">
        <is>
          <t>Not called</t>
        </is>
      </c>
      <c r="J111" s="9" t="n"/>
      <c r="K111" s="8" t="n"/>
      <c r="L111" s="9" t="n"/>
      <c r="M111" s="8" t="inlineStr">
        <is>
          <t>Directory listing: confirm the number on the first call.</t>
        </is>
      </c>
      <c r="N111" s="5" t="inlineStr">
        <is>
          <t>Ask for the owner or GM. Call 2-4pm, between lunch and dinner.</t>
        </is>
      </c>
      <c r="O111" s="5" t="inlineStr">
        <is>
          <t>city-data.com</t>
        </is>
      </c>
    </row>
    <row r="112">
      <c r="A112" s="5" t="n">
        <v>111</v>
      </c>
      <c r="B112" s="10" t="inlineStr">
        <is>
          <t>B</t>
        </is>
      </c>
      <c r="C112" s="5" t="inlineStr">
        <is>
          <t>King's Chef</t>
        </is>
      </c>
      <c r="D112" s="5" t="inlineStr">
        <is>
          <t>Restaurant</t>
        </is>
      </c>
      <c r="E112" s="7" t="inlineStr">
        <is>
          <t>(215) 396-6619</t>
        </is>
      </c>
      <c r="F112" s="5" t="inlineStr">
        <is>
          <t>876 E Street Rd</t>
        </is>
      </c>
      <c r="G112" s="5" t="inlineStr">
        <is>
          <t>Warminster</t>
        </is>
      </c>
      <c r="H112" s="5" t="inlineStr">
        <is>
          <t>Bucks</t>
        </is>
      </c>
      <c r="I112" s="8" t="inlineStr">
        <is>
          <t>Not called</t>
        </is>
      </c>
      <c r="J112" s="9" t="n"/>
      <c r="K112" s="8" t="n"/>
      <c r="L112" s="9" t="n"/>
      <c r="M112" s="8" t="inlineStr">
        <is>
          <t>Directory listing: confirm the number on the first call.</t>
        </is>
      </c>
      <c r="N112" s="5" t="inlineStr">
        <is>
          <t>Ask for the owner or GM. Call 2-4pm, between lunch and dinner.</t>
        </is>
      </c>
      <c r="O112" s="5" t="inlineStr">
        <is>
          <t>city-data.com</t>
        </is>
      </c>
    </row>
    <row r="113">
      <c r="A113" s="5" t="n">
        <v>112</v>
      </c>
      <c r="B113" s="10" t="inlineStr">
        <is>
          <t>B</t>
        </is>
      </c>
      <c r="C113" s="5" t="inlineStr">
        <is>
          <t>Little Leo's Cafe</t>
        </is>
      </c>
      <c r="D113" s="5" t="inlineStr">
        <is>
          <t>Restaurant</t>
        </is>
      </c>
      <c r="E113" s="7" t="inlineStr">
        <is>
          <t>(215) 441-9670</t>
        </is>
      </c>
      <c r="F113" s="5" t="inlineStr">
        <is>
          <t>547 York Rd</t>
        </is>
      </c>
      <c r="G113" s="5" t="inlineStr">
        <is>
          <t>Warminster</t>
        </is>
      </c>
      <c r="H113" s="5" t="inlineStr">
        <is>
          <t>Bucks</t>
        </is>
      </c>
      <c r="I113" s="8" t="inlineStr">
        <is>
          <t>Not called</t>
        </is>
      </c>
      <c r="J113" s="9" t="n"/>
      <c r="K113" s="8" t="n"/>
      <c r="L113" s="9" t="n"/>
      <c r="M113" s="8" t="inlineStr">
        <is>
          <t>Directory listing: confirm the number on the first call.</t>
        </is>
      </c>
      <c r="N113" s="5" t="inlineStr">
        <is>
          <t>Ask for the owner or GM. Call 2-4pm, between lunch and dinner.</t>
        </is>
      </c>
      <c r="O113" s="5" t="inlineStr">
        <is>
          <t>city-data.com</t>
        </is>
      </c>
    </row>
    <row r="114">
      <c r="A114" s="5" t="n">
        <v>113</v>
      </c>
      <c r="B114" s="10" t="inlineStr">
        <is>
          <t>B</t>
        </is>
      </c>
      <c r="C114" s="5" t="inlineStr">
        <is>
          <t>Casablanca Restaurant</t>
        </is>
      </c>
      <c r="D114" s="5" t="inlineStr">
        <is>
          <t>Restaurant</t>
        </is>
      </c>
      <c r="E114" s="7" t="inlineStr">
        <is>
          <t>(215) 343-7715</t>
        </is>
      </c>
      <c r="F114" s="5" t="inlineStr">
        <is>
          <t>1111 Easton Rd</t>
        </is>
      </c>
      <c r="G114" s="5" t="inlineStr">
        <is>
          <t>Warrington</t>
        </is>
      </c>
      <c r="H114" s="5" t="inlineStr">
        <is>
          <t>Bucks</t>
        </is>
      </c>
      <c r="I114" s="8" t="inlineStr">
        <is>
          <t>Not called</t>
        </is>
      </c>
      <c r="J114" s="9" t="n"/>
      <c r="K114" s="8" t="n"/>
      <c r="L114" s="9" t="n"/>
      <c r="M114" s="8" t="n"/>
      <c r="N114" s="5" t="inlineStr">
        <is>
          <t>Ask for the owner or GM. Call 2-4pm, between lunch and dinner.</t>
        </is>
      </c>
      <c r="O114" s="5" t="inlineStr">
        <is>
          <t>menupages.com</t>
        </is>
      </c>
    </row>
    <row r="115">
      <c r="A115" s="5" t="n">
        <v>114</v>
      </c>
      <c r="B115" s="10" t="inlineStr">
        <is>
          <t>B</t>
        </is>
      </c>
      <c r="C115" s="5" t="inlineStr">
        <is>
          <t>Jade Island</t>
        </is>
      </c>
      <c r="D115" s="5" t="inlineStr">
        <is>
          <t>Restaurant</t>
        </is>
      </c>
      <c r="E115" s="7" t="inlineStr">
        <is>
          <t>(215) 918-2000</t>
        </is>
      </c>
      <c r="F115" s="5" t="inlineStr">
        <is>
          <t>1380 Easton Rd</t>
        </is>
      </c>
      <c r="G115" s="5" t="inlineStr">
        <is>
          <t>Warrington</t>
        </is>
      </c>
      <c r="H115" s="5" t="inlineStr">
        <is>
          <t>Bucks</t>
        </is>
      </c>
      <c r="I115" s="8" t="inlineStr">
        <is>
          <t>Not called</t>
        </is>
      </c>
      <c r="J115" s="9" t="n"/>
      <c r="K115" s="8" t="n"/>
      <c r="L115" s="9" t="n"/>
      <c r="M115" s="8" t="n"/>
      <c r="N115" s="5" t="inlineStr">
        <is>
          <t>Ask for the owner or GM. Call 2-4pm, between lunch and dinner.</t>
        </is>
      </c>
      <c r="O115" s="5" t="inlineStr">
        <is>
          <t>menupages.com</t>
        </is>
      </c>
    </row>
    <row r="116">
      <c r="A116" s="5" t="n">
        <v>115</v>
      </c>
      <c r="B116" s="10" t="inlineStr">
        <is>
          <t>B</t>
        </is>
      </c>
      <c r="C116" s="5" t="inlineStr">
        <is>
          <t>Roma Pizza</t>
        </is>
      </c>
      <c r="D116" s="5" t="inlineStr">
        <is>
          <t>Restaurant</t>
        </is>
      </c>
      <c r="E116" s="7" t="inlineStr">
        <is>
          <t>(215) 343-5599</t>
        </is>
      </c>
      <c r="F116" s="5" t="inlineStr">
        <is>
          <t>1103 Main St</t>
        </is>
      </c>
      <c r="G116" s="5" t="inlineStr">
        <is>
          <t>Warrington</t>
        </is>
      </c>
      <c r="H116" s="5" t="inlineStr">
        <is>
          <t>Bucks</t>
        </is>
      </c>
      <c r="I116" s="8" t="inlineStr">
        <is>
          <t>Not called</t>
        </is>
      </c>
      <c r="J116" s="9" t="n"/>
      <c r="K116" s="8" t="n"/>
      <c r="L116" s="9" t="n"/>
      <c r="M116" s="8" t="n"/>
      <c r="N116" s="5" t="inlineStr">
        <is>
          <t>Ask for the owner or GM. Call 2-4pm, between lunch and dinner.</t>
        </is>
      </c>
      <c r="O116" s="5" t="inlineStr">
        <is>
          <t>menupages.com</t>
        </is>
      </c>
    </row>
    <row r="117">
      <c r="A117" s="5" t="n">
        <v>116</v>
      </c>
      <c r="B117" s="10" t="inlineStr">
        <is>
          <t>B</t>
        </is>
      </c>
      <c r="C117" s="5" t="inlineStr">
        <is>
          <t>Sal's Pizza &amp; Steaks</t>
        </is>
      </c>
      <c r="D117" s="5" t="inlineStr">
        <is>
          <t>Restaurant</t>
        </is>
      </c>
      <c r="E117" s="7" t="inlineStr">
        <is>
          <t>(215) 343-2113</t>
        </is>
      </c>
      <c r="F117" s="5" t="inlineStr">
        <is>
          <t>1111 Easton Rd</t>
        </is>
      </c>
      <c r="G117" s="5" t="inlineStr">
        <is>
          <t>Warrington</t>
        </is>
      </c>
      <c r="H117" s="5" t="inlineStr">
        <is>
          <t>Bucks</t>
        </is>
      </c>
      <c r="I117" s="8" t="inlineStr">
        <is>
          <t>Not called</t>
        </is>
      </c>
      <c r="J117" s="9" t="n"/>
      <c r="K117" s="8" t="n"/>
      <c r="L117" s="9" t="n"/>
      <c r="M117" s="8" t="n"/>
      <c r="N117" s="5" t="inlineStr">
        <is>
          <t>Ask for the owner or GM. Call 2-4pm, between lunch and dinner.</t>
        </is>
      </c>
      <c r="O117" s="5" t="inlineStr">
        <is>
          <t>menupages.com</t>
        </is>
      </c>
    </row>
    <row r="118">
      <c r="A118" s="5" t="n">
        <v>117</v>
      </c>
      <c r="B118" s="10" t="inlineStr">
        <is>
          <t>B</t>
        </is>
      </c>
      <c r="C118" s="5" t="inlineStr">
        <is>
          <t>Select Pizza Grill</t>
        </is>
      </c>
      <c r="D118" s="5" t="inlineStr">
        <is>
          <t>Restaurant</t>
        </is>
      </c>
      <c r="E118" s="7" t="inlineStr">
        <is>
          <t>(267) 485-1111</t>
        </is>
      </c>
      <c r="F118" s="5" t="inlineStr">
        <is>
          <t>855 Easton Rd</t>
        </is>
      </c>
      <c r="G118" s="5" t="inlineStr">
        <is>
          <t>Warrington</t>
        </is>
      </c>
      <c r="H118" s="5" t="inlineStr">
        <is>
          <t>Bucks</t>
        </is>
      </c>
      <c r="I118" s="8" t="inlineStr">
        <is>
          <t>Not called</t>
        </is>
      </c>
      <c r="J118" s="9" t="n"/>
      <c r="K118" s="8" t="n"/>
      <c r="L118" s="9" t="n"/>
      <c r="M118" s="8" t="n"/>
      <c r="N118" s="5" t="inlineStr">
        <is>
          <t>Ask for the owner or GM. Call 2-4pm, between lunch and dinner.</t>
        </is>
      </c>
      <c r="O118" s="5" t="inlineStr">
        <is>
          <t>aaa.com</t>
        </is>
      </c>
    </row>
    <row r="119">
      <c r="A119" s="5" t="n">
        <v>118</v>
      </c>
      <c r="B119" s="10" t="inlineStr">
        <is>
          <t>B</t>
        </is>
      </c>
      <c r="C119" s="5" t="inlineStr">
        <is>
          <t>Slack's Hoagie Shack</t>
        </is>
      </c>
      <c r="D119" s="5" t="inlineStr">
        <is>
          <t>Restaurant</t>
        </is>
      </c>
      <c r="E119" s="7" t="inlineStr">
        <is>
          <t>(215) 491-7000</t>
        </is>
      </c>
      <c r="F119" s="5" t="inlineStr">
        <is>
          <t>1409 Easton Rd</t>
        </is>
      </c>
      <c r="G119" s="5" t="inlineStr">
        <is>
          <t>Warrington</t>
        </is>
      </c>
      <c r="H119" s="5" t="inlineStr">
        <is>
          <t>Bucks</t>
        </is>
      </c>
      <c r="I119" s="8" t="inlineStr">
        <is>
          <t>Not called</t>
        </is>
      </c>
      <c r="J119" s="9" t="n"/>
      <c r="K119" s="8" t="n"/>
      <c r="L119" s="9" t="n"/>
      <c r="M119" s="8" t="n"/>
      <c r="N119" s="5" t="inlineStr">
        <is>
          <t>Ask for the owner or GM. Call 2-4pm, between lunch and dinner.</t>
        </is>
      </c>
      <c r="O119" s="5" t="inlineStr">
        <is>
          <t>menupages.com</t>
        </is>
      </c>
    </row>
    <row r="120">
      <c r="A120" s="5" t="n">
        <v>119</v>
      </c>
      <c r="B120" s="10" t="inlineStr">
        <is>
          <t>B</t>
        </is>
      </c>
      <c r="C120" s="5" t="inlineStr">
        <is>
          <t>Soprano's Pizzeria &amp; Restaurant</t>
        </is>
      </c>
      <c r="D120" s="5" t="inlineStr">
        <is>
          <t>Restaurant</t>
        </is>
      </c>
      <c r="E120" s="7" t="inlineStr">
        <is>
          <t>(215) 918-1681</t>
        </is>
      </c>
      <c r="F120" s="5" t="inlineStr">
        <is>
          <t>1380 Easton Rd</t>
        </is>
      </c>
      <c r="G120" s="5" t="inlineStr">
        <is>
          <t>Warrington</t>
        </is>
      </c>
      <c r="H120" s="5" t="inlineStr">
        <is>
          <t>Bucks</t>
        </is>
      </c>
      <c r="I120" s="8" t="inlineStr">
        <is>
          <t>Not called</t>
        </is>
      </c>
      <c r="J120" s="9" t="n"/>
      <c r="K120" s="8" t="n"/>
      <c r="L120" s="9" t="n"/>
      <c r="M120" s="8" t="n"/>
      <c r="N120" s="5" t="inlineStr">
        <is>
          <t>Ask for the owner or GM. Call 2-4pm, between lunch and dinner.</t>
        </is>
      </c>
      <c r="O120" s="5" t="inlineStr">
        <is>
          <t>menupages.com</t>
        </is>
      </c>
    </row>
    <row r="121">
      <c r="A121" s="5" t="n">
        <v>120</v>
      </c>
      <c r="B121" s="10" t="inlineStr">
        <is>
          <t>B</t>
        </is>
      </c>
      <c r="C121" s="5" t="inlineStr">
        <is>
          <t>Turning Point Warrington</t>
        </is>
      </c>
      <c r="D121" s="5" t="inlineStr">
        <is>
          <t>Restaurant</t>
        </is>
      </c>
      <c r="E121" s="7" t="inlineStr">
        <is>
          <t>(215) 792-7610</t>
        </is>
      </c>
      <c r="F121" s="5" t="inlineStr">
        <is>
          <t>1584 Main St</t>
        </is>
      </c>
      <c r="G121" s="5" t="inlineStr">
        <is>
          <t>Warrington</t>
        </is>
      </c>
      <c r="H121" s="5" t="inlineStr">
        <is>
          <t>Bucks</t>
        </is>
      </c>
      <c r="I121" s="8" t="inlineStr">
        <is>
          <t>Not called</t>
        </is>
      </c>
      <c r="J121" s="9" t="n"/>
      <c r="K121" s="8" t="n"/>
      <c r="L121" s="9" t="n"/>
      <c r="M121" s="8" t="n"/>
      <c r="N121" s="5" t="inlineStr">
        <is>
          <t>Ask for the owner or GM. Call 2-4pm, between lunch and dinner.</t>
        </is>
      </c>
      <c r="O121" s="5" t="inlineStr">
        <is>
          <t>turningpointrestaurants.com</t>
        </is>
      </c>
    </row>
    <row r="122">
      <c r="A122" s="5" t="n">
        <v>121</v>
      </c>
      <c r="B122" s="10" t="inlineStr">
        <is>
          <t>B</t>
        </is>
      </c>
      <c r="C122" s="5" t="inlineStr">
        <is>
          <t>Carlucci's Italian Grill</t>
        </is>
      </c>
      <c r="D122" s="5" t="inlineStr">
        <is>
          <t>Restaurant</t>
        </is>
      </c>
      <c r="E122" s="7" t="inlineStr">
        <is>
          <t>(215) 321-9010</t>
        </is>
      </c>
      <c r="F122" s="5" t="inlineStr">
        <is>
          <t>1633 Big Oak Rd</t>
        </is>
      </c>
      <c r="G122" s="5" t="inlineStr">
        <is>
          <t>Yardley</t>
        </is>
      </c>
      <c r="H122" s="5" t="inlineStr">
        <is>
          <t>Bucks</t>
        </is>
      </c>
      <c r="I122" s="8" t="inlineStr">
        <is>
          <t>Not called</t>
        </is>
      </c>
      <c r="J122" s="9" t="n"/>
      <c r="K122" s="8" t="n"/>
      <c r="L122" s="9" t="n"/>
      <c r="M122" s="8" t="n"/>
      <c r="N122" s="5" t="inlineStr">
        <is>
          <t>Ask for the owner or GM. Call 2-4pm, between lunch and dinner.</t>
        </is>
      </c>
      <c r="O122" s="5" t="inlineStr">
        <is>
          <t>aaa.com</t>
        </is>
      </c>
    </row>
    <row r="123">
      <c r="A123" s="5" t="n">
        <v>122</v>
      </c>
      <c r="B123" s="11" t="inlineStr">
        <is>
          <t>C</t>
        </is>
      </c>
      <c r="C123" s="5" t="inlineStr">
        <is>
          <t>Bucks Country Gardens</t>
        </is>
      </c>
      <c r="D123" s="5" t="inlineStr">
        <is>
          <t>Garden center (buyer or referral partner)</t>
        </is>
      </c>
      <c r="E123" s="7" t="inlineStr">
        <is>
          <t>(215) 766-7800</t>
        </is>
      </c>
      <c r="F123" s="5" t="inlineStr">
        <is>
          <t>1057 N Easton Rd</t>
        </is>
      </c>
      <c r="G123" s="5" t="inlineStr">
        <is>
          <t>Doylestown</t>
        </is>
      </c>
      <c r="H123" s="5" t="inlineStr">
        <is>
          <t>Bucks</t>
        </is>
      </c>
      <c r="I123" s="8" t="inlineStr">
        <is>
          <t>Not called</t>
        </is>
      </c>
      <c r="J123" s="9" t="n"/>
      <c r="K123" s="8" t="n"/>
      <c r="L123" s="9" t="n"/>
      <c r="M123" s="8" t="n"/>
      <c r="N123" s="5" t="inlineStr">
        <is>
          <t>They may sell lights. Pitch a referral deal for customers who want them installed.</t>
        </is>
      </c>
      <c r="O123" s="5" t="inlineStr">
        <is>
          <t>visitbuckscounty.com</t>
        </is>
      </c>
    </row>
    <row r="124">
      <c r="A124" s="5" t="n">
        <v>123</v>
      </c>
      <c r="B124" s="11" t="inlineStr">
        <is>
          <t>C</t>
        </is>
      </c>
      <c r="C124" s="5" t="inlineStr">
        <is>
          <t>Central Bucks Chamber of Commerce</t>
        </is>
      </c>
      <c r="D124" s="5" t="inlineStr">
        <is>
          <t>Chamber of commerce (referrals / member list)</t>
        </is>
      </c>
      <c r="E124" s="7" t="inlineStr">
        <is>
          <t>(215) 348-3913</t>
        </is>
      </c>
      <c r="F124" s="5" t="inlineStr">
        <is>
          <t>252 W Swamp Rd Ste 23</t>
        </is>
      </c>
      <c r="G124" s="5" t="inlineStr">
        <is>
          <t>Doylestown</t>
        </is>
      </c>
      <c r="H124" s="5" t="inlineStr">
        <is>
          <t>Bucks</t>
        </is>
      </c>
      <c r="I124" s="8" t="inlineStr">
        <is>
          <t>Not called</t>
        </is>
      </c>
      <c r="J124" s="9" t="n"/>
      <c r="K124" s="8" t="n"/>
      <c r="L124" s="9" t="n"/>
      <c r="M124" s="8" t="n"/>
      <c r="N124" s="5" t="inlineStr">
        <is>
          <t>Networking: ask about membership, the member directory, and holiday events.</t>
        </is>
      </c>
      <c r="O124" s="5" t="inlineStr">
        <is>
          <t>uschamber.com</t>
        </is>
      </c>
    </row>
    <row r="125">
      <c r="A125" s="5" t="n">
        <v>124</v>
      </c>
      <c r="B125" s="11" t="inlineStr">
        <is>
          <t>C</t>
        </is>
      </c>
      <c r="C125" s="5" t="inlineStr">
        <is>
          <t>Doylestown United Methodist Church</t>
        </is>
      </c>
      <c r="D125" s="5" t="inlineStr">
        <is>
          <t>Church</t>
        </is>
      </c>
      <c r="E125" s="7" t="inlineStr">
        <is>
          <t>(215) 348-5224</t>
        </is>
      </c>
      <c r="F125" s="5" t="inlineStr">
        <is>
          <t>320 E Swamp Rd</t>
        </is>
      </c>
      <c r="G125" s="5" t="inlineStr">
        <is>
          <t>Doylestown</t>
        </is>
      </c>
      <c r="H125" s="5" t="inlineStr">
        <is>
          <t>Bucks</t>
        </is>
      </c>
      <c r="I125" s="8" t="inlineStr">
        <is>
          <t>Not called</t>
        </is>
      </c>
      <c r="J125" s="9" t="n"/>
      <c r="K125" s="8" t="n"/>
      <c r="L125" s="9" t="n"/>
      <c r="M125" s="8" t="n"/>
      <c r="N125" s="5" t="inlineStr">
        <is>
          <t>Ask for the office administrator or facilities committee.</t>
        </is>
      </c>
      <c r="O125" s="5" t="inlineStr">
        <is>
          <t>churcheslist.com</t>
        </is>
      </c>
    </row>
    <row r="126">
      <c r="A126" s="5" t="n">
        <v>125</v>
      </c>
      <c r="B126" s="11" t="inlineStr">
        <is>
          <t>C</t>
        </is>
      </c>
      <c r="C126" s="5" t="inlineStr">
        <is>
          <t>First Baptist Church of Doylestown</t>
        </is>
      </c>
      <c r="D126" s="5" t="inlineStr">
        <is>
          <t>Church</t>
        </is>
      </c>
      <c r="E126" s="7" t="inlineStr">
        <is>
          <t>(215) 348-5210</t>
        </is>
      </c>
      <c r="F126" s="5" t="inlineStr">
        <is>
          <t>311 W State St</t>
        </is>
      </c>
      <c r="G126" s="5" t="inlineStr">
        <is>
          <t>Doylestown</t>
        </is>
      </c>
      <c r="H126" s="5" t="inlineStr">
        <is>
          <t>Bucks</t>
        </is>
      </c>
      <c r="I126" s="8" t="inlineStr">
        <is>
          <t>Not called</t>
        </is>
      </c>
      <c r="J126" s="9" t="n"/>
      <c r="K126" s="8" t="n"/>
      <c r="L126" s="9" t="n"/>
      <c r="M126" s="8" t="n"/>
      <c r="N126" s="5" t="inlineStr">
        <is>
          <t>Ask for the office administrator or facilities committee.</t>
        </is>
      </c>
      <c r="O126" s="5" t="inlineStr">
        <is>
          <t>venturechurches.org</t>
        </is>
      </c>
    </row>
    <row r="127">
      <c r="A127" s="5" t="n">
        <v>126</v>
      </c>
      <c r="B127" s="11" t="inlineStr">
        <is>
          <t>C</t>
        </is>
      </c>
      <c r="C127" s="5" t="inlineStr">
        <is>
          <t>Pebble Hill Interfaith Church</t>
        </is>
      </c>
      <c r="D127" s="5" t="inlineStr">
        <is>
          <t>Church</t>
        </is>
      </c>
      <c r="E127" s="7" t="inlineStr">
        <is>
          <t>(215) 348-3428</t>
        </is>
      </c>
      <c r="F127" s="5" t="inlineStr">
        <is>
          <t>320 Edison-Furlong Rd</t>
        </is>
      </c>
      <c r="G127" s="5" t="inlineStr">
        <is>
          <t>Doylestown</t>
        </is>
      </c>
      <c r="H127" s="5" t="inlineStr">
        <is>
          <t>Bucks</t>
        </is>
      </c>
      <c r="I127" s="8" t="inlineStr">
        <is>
          <t>Not called</t>
        </is>
      </c>
      <c r="J127" s="9" t="n"/>
      <c r="K127" s="8" t="n"/>
      <c r="L127" s="9" t="n"/>
      <c r="M127" s="8" t="n"/>
      <c r="N127" s="5" t="inlineStr">
        <is>
          <t>Ask for the office administrator or facilities committee.</t>
        </is>
      </c>
      <c r="O127" s="5" t="inlineStr">
        <is>
          <t>pluralism.org</t>
        </is>
      </c>
    </row>
    <row r="128">
      <c r="A128" s="5" t="n">
        <v>127</v>
      </c>
      <c r="B128" s="11" t="inlineStr">
        <is>
          <t>C</t>
        </is>
      </c>
      <c r="C128" s="5" t="inlineStr">
        <is>
          <t>Lower Bucks County Chamber of Commerce</t>
        </is>
      </c>
      <c r="D128" s="5" t="inlineStr">
        <is>
          <t>Chamber of commerce (referrals / member list)</t>
        </is>
      </c>
      <c r="E128" s="7" t="inlineStr">
        <is>
          <t>(215) 943-7400</t>
        </is>
      </c>
      <c r="F128" s="5" t="inlineStr">
        <is>
          <t>409 Hood Blvd</t>
        </is>
      </c>
      <c r="G128" s="5" t="inlineStr">
        <is>
          <t>Fairless Hills</t>
        </is>
      </c>
      <c r="H128" s="5" t="inlineStr">
        <is>
          <t>Bucks</t>
        </is>
      </c>
      <c r="I128" s="8" t="inlineStr">
        <is>
          <t>Not called</t>
        </is>
      </c>
      <c r="J128" s="9" t="n"/>
      <c r="K128" s="8" t="n"/>
      <c r="L128" s="9" t="n"/>
      <c r="M128" s="8" t="n"/>
      <c r="N128" s="5" t="inlineStr">
        <is>
          <t>Networking: ask about membership, the member directory, and holiday events.</t>
        </is>
      </c>
      <c r="O128" s="5" t="inlineStr">
        <is>
          <t>buckscounty.gov</t>
        </is>
      </c>
    </row>
    <row r="129">
      <c r="A129" s="5" t="n">
        <v>128</v>
      </c>
      <c r="B129" s="11" t="inlineStr">
        <is>
          <t>C</t>
        </is>
      </c>
      <c r="C129" s="5" t="inlineStr">
        <is>
          <t>Feeney's Nursery</t>
        </is>
      </c>
      <c r="D129" s="5" t="inlineStr">
        <is>
          <t>Garden center (buyer or referral partner)</t>
        </is>
      </c>
      <c r="E129" s="7" t="inlineStr">
        <is>
          <t>(215) 322-4300</t>
        </is>
      </c>
      <c r="F129" s="5" t="inlineStr">
        <is>
          <t>1134 Bustleton Pike</t>
        </is>
      </c>
      <c r="G129" s="5" t="inlineStr">
        <is>
          <t>Feasterville</t>
        </is>
      </c>
      <c r="H129" s="5" t="inlineStr">
        <is>
          <t>Bucks</t>
        </is>
      </c>
      <c r="I129" s="8" t="inlineStr">
        <is>
          <t>Not called</t>
        </is>
      </c>
      <c r="J129" s="9" t="n"/>
      <c r="K129" s="8" t="n"/>
      <c r="L129" s="9" t="n"/>
      <c r="M129" s="8" t="n"/>
      <c r="N129" s="5" t="inlineStr">
        <is>
          <t>They may sell lights. Pitch a referral deal for customers who want them installed.</t>
        </is>
      </c>
      <c r="O129" s="5" t="inlineStr">
        <is>
          <t>pridescorner.com</t>
        </is>
      </c>
    </row>
    <row r="130">
      <c r="A130" s="5" t="n">
        <v>129</v>
      </c>
      <c r="B130" s="11" t="inlineStr">
        <is>
          <t>C</t>
        </is>
      </c>
      <c r="C130" s="5" t="inlineStr">
        <is>
          <t>Upper Bucks Chamber of Commerce</t>
        </is>
      </c>
      <c r="D130" s="5" t="inlineStr">
        <is>
          <t>Chamber of commerce (referrals / member list)</t>
        </is>
      </c>
      <c r="E130" s="7" t="inlineStr">
        <is>
          <t>(215) 536-3211</t>
        </is>
      </c>
      <c r="F130" s="5" t="inlineStr">
        <is>
          <t>21 N Main St</t>
        </is>
      </c>
      <c r="G130" s="5" t="inlineStr">
        <is>
          <t>Quakertown</t>
        </is>
      </c>
      <c r="H130" s="5" t="inlineStr">
        <is>
          <t>Bucks</t>
        </is>
      </c>
      <c r="I130" s="8" t="inlineStr">
        <is>
          <t>Not called</t>
        </is>
      </c>
      <c r="J130" s="9" t="n"/>
      <c r="K130" s="8" t="n"/>
      <c r="L130" s="9" t="n"/>
      <c r="M130" s="8" t="n"/>
      <c r="N130" s="5" t="inlineStr">
        <is>
          <t>Networking: ask about membership, the member directory, and holiday events.</t>
        </is>
      </c>
      <c r="O130" s="5" t="inlineStr">
        <is>
          <t>buckscounty.gov</t>
        </is>
      </c>
    </row>
    <row r="131">
      <c r="A131" s="5" t="n">
        <v>130</v>
      </c>
      <c r="B131" s="11" t="inlineStr">
        <is>
          <t>C</t>
        </is>
      </c>
      <c r="C131" s="5" t="inlineStr">
        <is>
          <t>Grace Lutheran Church</t>
        </is>
      </c>
      <c r="D131" s="5" t="inlineStr">
        <is>
          <t>Church</t>
        </is>
      </c>
      <c r="E131" s="7" t="inlineStr">
        <is>
          <t>(215) 442-5500</t>
        </is>
      </c>
      <c r="F131" s="5" t="inlineStr">
        <is>
          <t>1169 W Street Rd</t>
        </is>
      </c>
      <c r="G131" s="5" t="inlineStr">
        <is>
          <t>Warminster</t>
        </is>
      </c>
      <c r="H131" s="5" t="inlineStr">
        <is>
          <t>Bucks</t>
        </is>
      </c>
      <c r="I131" s="8" t="inlineStr">
        <is>
          <t>Not called</t>
        </is>
      </c>
      <c r="J131" s="9" t="n"/>
      <c r="K131" s="8" t="n"/>
      <c r="L131" s="9" t="n"/>
      <c r="M131" s="8" t="n"/>
      <c r="N131" s="5" t="inlineStr">
        <is>
          <t>Ask for the office administrator or facilities committee.</t>
        </is>
      </c>
      <c r="O131" s="5" t="inlineStr">
        <is>
          <t>locator.lcms.org</t>
        </is>
      </c>
    </row>
    <row r="132">
      <c r="A132" s="5" t="n">
        <v>131</v>
      </c>
      <c r="B132" s="11" t="inlineStr">
        <is>
          <t>C</t>
        </is>
      </c>
      <c r="C132" s="5" t="inlineStr">
        <is>
          <t>Greater BucksMont Chamber of Commerce</t>
        </is>
      </c>
      <c r="D132" s="5" t="inlineStr">
        <is>
          <t>Chamber of commerce (referrals / member list)</t>
        </is>
      </c>
      <c r="E132" s="7" t="inlineStr">
        <is>
          <t>(215) 672-6633</t>
        </is>
      </c>
      <c r="F132" s="5" t="inlineStr">
        <is>
          <t>PO Box 3014</t>
        </is>
      </c>
      <c r="G132" s="5" t="inlineStr">
        <is>
          <t>Warminster</t>
        </is>
      </c>
      <c r="H132" s="5" t="inlineStr">
        <is>
          <t>Bucks</t>
        </is>
      </c>
      <c r="I132" s="8" t="inlineStr">
        <is>
          <t>Not called</t>
        </is>
      </c>
      <c r="J132" s="9" t="n"/>
      <c r="K132" s="8" t="n"/>
      <c r="L132" s="9" t="n"/>
      <c r="M132" s="8" t="n"/>
      <c r="N132" s="5" t="inlineStr">
        <is>
          <t>Networking: ask about membership, the member directory, and holiday events.</t>
        </is>
      </c>
      <c r="O132" s="5" t="inlineStr">
        <is>
          <t>buckscounty.gov</t>
        </is>
      </c>
    </row>
    <row r="133">
      <c r="A133" s="5" t="n">
        <v>132</v>
      </c>
      <c r="B133" s="11" t="inlineStr">
        <is>
          <t>C</t>
        </is>
      </c>
      <c r="C133" s="5" t="inlineStr">
        <is>
          <t>Nativity of Our Lord Catholic Parish</t>
        </is>
      </c>
      <c r="D133" s="5" t="inlineStr">
        <is>
          <t>Church</t>
        </is>
      </c>
      <c r="E133" s="7" t="inlineStr">
        <is>
          <t>(215) 675-1925</t>
        </is>
      </c>
      <c r="F133" s="5" t="inlineStr">
        <is>
          <t>605 W Street Rd</t>
        </is>
      </c>
      <c r="G133" s="5" t="inlineStr">
        <is>
          <t>Warminster</t>
        </is>
      </c>
      <c r="H133" s="5" t="inlineStr">
        <is>
          <t>Bucks</t>
        </is>
      </c>
      <c r="I133" s="8" t="inlineStr">
        <is>
          <t>Not called</t>
        </is>
      </c>
      <c r="J133" s="9" t="n"/>
      <c r="K133" s="8" t="n"/>
      <c r="L133" s="9" t="n"/>
      <c r="M133" s="8" t="n"/>
      <c r="N133" s="5" t="inlineStr">
        <is>
          <t>Ask for the office administrator or facilities committee.</t>
        </is>
      </c>
      <c r="O133" s="5" t="inlineStr">
        <is>
          <t>noolp.org</t>
        </is>
      </c>
    </row>
    <row r="134">
      <c r="A134" s="5" t="n">
        <v>133</v>
      </c>
      <c r="B134" s="11" t="inlineStr">
        <is>
          <t>C</t>
        </is>
      </c>
      <c r="C134" s="5" t="inlineStr">
        <is>
          <t>St. Robert Bellarmine Church</t>
        </is>
      </c>
      <c r="D134" s="5" t="inlineStr">
        <is>
          <t>Church</t>
        </is>
      </c>
      <c r="E134" s="7" t="inlineStr">
        <is>
          <t>(215) 343-0315</t>
        </is>
      </c>
      <c r="F134" s="5" t="inlineStr">
        <is>
          <t>Euclid Ave &amp; Carriage Way</t>
        </is>
      </c>
      <c r="G134" s="5" t="inlineStr">
        <is>
          <t>Warrington</t>
        </is>
      </c>
      <c r="H134" s="5" t="inlineStr">
        <is>
          <t>Bucks</t>
        </is>
      </c>
      <c r="I134" s="8" t="inlineStr">
        <is>
          <t>Not called</t>
        </is>
      </c>
      <c r="J134" s="9" t="n"/>
      <c r="K134" s="8" t="n"/>
      <c r="L134" s="9" t="n"/>
      <c r="M134" s="8" t="n"/>
      <c r="N134" s="5" t="inlineStr">
        <is>
          <t>Ask for the office administrator or facilities committee.</t>
        </is>
      </c>
      <c r="O134" s="5" t="inlineStr">
        <is>
          <t>gcatholic.org</t>
        </is>
      </c>
    </row>
    <row r="135">
      <c r="A135" s="5" t="n">
        <v>134</v>
      </c>
      <c r="B135" s="10" t="inlineStr">
        <is>
          <t>B</t>
        </is>
      </c>
      <c r="C135" s="5" t="inlineStr">
        <is>
          <t>R and S Keystone Restaurant</t>
        </is>
      </c>
      <c r="D135" s="5" t="inlineStr">
        <is>
          <t>Restaurant</t>
        </is>
      </c>
      <c r="E135" s="7" t="inlineStr">
        <is>
          <t>(215) 257-3330</t>
        </is>
      </c>
      <c r="F135" s="5" t="inlineStr">
        <is>
          <t>4714 Bethlehem Pike</t>
        </is>
      </c>
      <c r="G135" s="5" t="inlineStr">
        <is>
          <t>Telford</t>
        </is>
      </c>
      <c r="H135" s="5" t="inlineStr">
        <is>
          <t>Bucks/Montgomery</t>
        </is>
      </c>
      <c r="I135" s="8" t="inlineStr">
        <is>
          <t>Not called</t>
        </is>
      </c>
      <c r="J135" s="9" t="n"/>
      <c r="K135" s="8" t="n"/>
      <c r="L135" s="9" t="n"/>
      <c r="M135" s="8" t="n"/>
      <c r="N135" s="5" t="inlineStr">
        <is>
          <t>Ask for the owner or GM. Call 2-4pm, between lunch and dinner.</t>
        </is>
      </c>
      <c r="O135" s="5" t="inlineStr">
        <is>
          <t>explorepahistory.com</t>
        </is>
      </c>
    </row>
    <row r="136">
      <c r="A136" s="5" t="n">
        <v>135</v>
      </c>
      <c r="B136" s="6" t="inlineStr">
        <is>
          <t>A</t>
        </is>
      </c>
      <c r="C136" s="5" t="inlineStr">
        <is>
          <t>Bridget's Steakhouse</t>
        </is>
      </c>
      <c r="D136" s="5" t="inlineStr">
        <is>
          <t>Restaurant/bar</t>
        </is>
      </c>
      <c r="E136" s="7" t="inlineStr">
        <is>
          <t>(267) 465-2000</t>
        </is>
      </c>
      <c r="F136" s="5" t="inlineStr">
        <is>
          <t>8 W Butler Ave</t>
        </is>
      </c>
      <c r="G136" s="5" t="inlineStr">
        <is>
          <t>Ambler</t>
        </is>
      </c>
      <c r="H136" s="5" t="inlineStr">
        <is>
          <t>Montgomery</t>
        </is>
      </c>
      <c r="I136" s="8" t="inlineStr">
        <is>
          <t>Not called</t>
        </is>
      </c>
      <c r="J136" s="9" t="n"/>
      <c r="K136" s="8" t="n"/>
      <c r="L136" s="9" t="n"/>
      <c r="M136" s="8" t="n"/>
      <c r="N136" s="5" t="inlineStr">
        <is>
          <t>Ask for the owner or GM. Call 2-4pm, between lunch and dinner.</t>
        </is>
      </c>
      <c r="O136" s="5" t="inlineStr">
        <is>
          <t>guidetophilly.com</t>
        </is>
      </c>
    </row>
    <row r="137">
      <c r="A137" s="5" t="n">
        <v>136</v>
      </c>
      <c r="B137" s="6" t="inlineStr">
        <is>
          <t>A</t>
        </is>
      </c>
      <c r="C137" s="5" t="inlineStr">
        <is>
          <t>KC's Alley</t>
        </is>
      </c>
      <c r="D137" s="5" t="inlineStr">
        <is>
          <t>Bar</t>
        </is>
      </c>
      <c r="E137" s="7" t="inlineStr">
        <is>
          <t>(215) 628-3300</t>
        </is>
      </c>
      <c r="F137" s="5" t="inlineStr">
        <is>
          <t>10 W Butler Ave</t>
        </is>
      </c>
      <c r="G137" s="5" t="inlineStr">
        <is>
          <t>Ambler</t>
        </is>
      </c>
      <c r="H137" s="5" t="inlineStr">
        <is>
          <t>Montgomery</t>
        </is>
      </c>
      <c r="I137" s="8" t="inlineStr">
        <is>
          <t>Not called</t>
        </is>
      </c>
      <c r="J137" s="9" t="n"/>
      <c r="K137" s="8" t="n"/>
      <c r="L137" s="9" t="n"/>
      <c r="M137" s="8" t="n"/>
      <c r="N137" s="5" t="inlineStr">
        <is>
          <t>Ask for the owner or GM. Call 2-4pm, between lunch and dinner.</t>
        </is>
      </c>
      <c r="O137" s="5" t="inlineStr">
        <is>
          <t>guidetophilly.com</t>
        </is>
      </c>
    </row>
    <row r="138">
      <c r="A138" s="5" t="n">
        <v>137</v>
      </c>
      <c r="B138" s="6" t="inlineStr">
        <is>
          <t>A</t>
        </is>
      </c>
      <c r="C138" s="5" t="inlineStr">
        <is>
          <t>Tannery Run Brew Works</t>
        </is>
      </c>
      <c r="D138" s="5" t="inlineStr">
        <is>
          <t>Brewery/taproom</t>
        </is>
      </c>
      <c r="E138" s="7" t="inlineStr">
        <is>
          <t>(215) 613-1113</t>
        </is>
      </c>
      <c r="F138" s="5" t="inlineStr">
        <is>
          <t>131 E Butler Ave</t>
        </is>
      </c>
      <c r="G138" s="5" t="inlineStr">
        <is>
          <t>Ambler</t>
        </is>
      </c>
      <c r="H138" s="5" t="inlineStr">
        <is>
          <t>Montgomery</t>
        </is>
      </c>
      <c r="I138" s="8" t="inlineStr">
        <is>
          <t>Not called</t>
        </is>
      </c>
      <c r="J138" s="9" t="n"/>
      <c r="K138" s="8" t="n"/>
      <c r="L138" s="9" t="n"/>
      <c r="M138" s="8" t="n"/>
      <c r="N138" s="5" t="inlineStr">
        <is>
          <t>Ask for the owner or GM. Call 2-4pm, between lunch and dinner.</t>
        </is>
      </c>
      <c r="O138" s="5" t="inlineStr">
        <is>
          <t>guidetophilly.com</t>
        </is>
      </c>
    </row>
    <row r="139">
      <c r="A139" s="5" t="n">
        <v>138</v>
      </c>
      <c r="B139" s="6" t="inlineStr">
        <is>
          <t>A</t>
        </is>
      </c>
      <c r="C139" s="5" t="inlineStr">
        <is>
          <t>Audi Fort Washington</t>
        </is>
      </c>
      <c r="D139" s="5" t="inlineStr">
        <is>
          <t>Car dealership</t>
        </is>
      </c>
      <c r="E139" s="7" t="inlineStr">
        <is>
          <t>(484) 383-1571</t>
        </is>
      </c>
      <c r="F139" s="5" t="inlineStr">
        <is>
          <t>428 Pennsylvania Ave</t>
        </is>
      </c>
      <c r="G139" s="5" t="inlineStr">
        <is>
          <t>Fort Washington</t>
        </is>
      </c>
      <c r="H139" s="5" t="inlineStr">
        <is>
          <t>Montgomery</t>
        </is>
      </c>
      <c r="I139" s="8" t="inlineStr">
        <is>
          <t>Not called</t>
        </is>
      </c>
      <c r="J139" s="9" t="n"/>
      <c r="K139" s="8" t="n"/>
      <c r="L139" s="9" t="n"/>
      <c r="M139" s="8" t="n"/>
      <c r="N139" s="5" t="inlineStr">
        <is>
          <t>Ask for the general manager. Listing-site numbers can be tracking lines that ring sales.</t>
        </is>
      </c>
      <c r="O139" s="5" t="inlineStr">
        <is>
          <t>kbb.com</t>
        </is>
      </c>
    </row>
    <row r="140">
      <c r="A140" s="5" t="n">
        <v>139</v>
      </c>
      <c r="B140" s="6" t="inlineStr">
        <is>
          <t>A</t>
        </is>
      </c>
      <c r="C140" s="5" t="inlineStr">
        <is>
          <t>611 Car Connection</t>
        </is>
      </c>
      <c r="D140" s="5" t="inlineStr">
        <is>
          <t>Car dealership</t>
        </is>
      </c>
      <c r="E140" s="7" t="inlineStr">
        <is>
          <t>(445) 265-1080</t>
        </is>
      </c>
      <c r="F140" s="5" t="inlineStr">
        <is>
          <t>246 County Line Rd</t>
        </is>
      </c>
      <c r="G140" s="5" t="inlineStr">
        <is>
          <t>Hatboro</t>
        </is>
      </c>
      <c r="H140" s="5" t="inlineStr">
        <is>
          <t>Montgomery</t>
        </is>
      </c>
      <c r="I140" s="8" t="inlineStr">
        <is>
          <t>Not called</t>
        </is>
      </c>
      <c r="J140" s="9" t="n"/>
      <c r="K140" s="8" t="n"/>
      <c r="L140" s="9" t="n"/>
      <c r="M140" s="8" t="n"/>
      <c r="N140" s="5" t="inlineStr">
        <is>
          <t>Ask for the general manager. Listing-site numbers can be tracking lines that ring sales.</t>
        </is>
      </c>
      <c r="O140" s="5" t="inlineStr">
        <is>
          <t>kbb.com</t>
        </is>
      </c>
    </row>
    <row r="141">
      <c r="A141" s="5" t="n">
        <v>140</v>
      </c>
      <c r="B141" s="6" t="inlineStr">
        <is>
          <t>A</t>
        </is>
      </c>
      <c r="C141" s="5" t="inlineStr">
        <is>
          <t>Active Auto Sales</t>
        </is>
      </c>
      <c r="D141" s="5" t="inlineStr">
        <is>
          <t>Car dealership</t>
        </is>
      </c>
      <c r="E141" s="7" t="inlineStr">
        <is>
          <t>(267) 445-1023</t>
        </is>
      </c>
      <c r="F141" s="5" t="inlineStr">
        <is>
          <t>300 E County Line Rd</t>
        </is>
      </c>
      <c r="G141" s="5" t="inlineStr">
        <is>
          <t>Hatboro</t>
        </is>
      </c>
      <c r="H141" s="5" t="inlineStr">
        <is>
          <t>Montgomery</t>
        </is>
      </c>
      <c r="I141" s="8" t="inlineStr">
        <is>
          <t>Not called</t>
        </is>
      </c>
      <c r="J141" s="9" t="n"/>
      <c r="K141" s="8" t="n"/>
      <c r="L141" s="9" t="n"/>
      <c r="M141" s="8" t="n"/>
      <c r="N141" s="5" t="inlineStr">
        <is>
          <t>Ask for the general manager. Listing-site numbers can be tracking lines that ring sales.</t>
        </is>
      </c>
      <c r="O141" s="5" t="inlineStr">
        <is>
          <t>kbb.com</t>
        </is>
      </c>
    </row>
    <row r="142">
      <c r="A142" s="5" t="n">
        <v>141</v>
      </c>
      <c r="B142" s="6" t="inlineStr">
        <is>
          <t>A</t>
        </is>
      </c>
      <c r="C142" s="5" t="inlineStr">
        <is>
          <t>Bobby T's Pub</t>
        </is>
      </c>
      <c r="D142" s="5" t="inlineStr">
        <is>
          <t>Restaurant/bar</t>
        </is>
      </c>
      <c r="E142" s="7" t="inlineStr">
        <is>
          <t>(215) 675-7882</t>
        </is>
      </c>
      <c r="F142" s="5" t="inlineStr">
        <is>
          <t>285 E County Line Rd</t>
        </is>
      </c>
      <c r="G142" s="5" t="inlineStr">
        <is>
          <t>Hatboro</t>
        </is>
      </c>
      <c r="H142" s="5" t="inlineStr">
        <is>
          <t>Montgomery</t>
        </is>
      </c>
      <c r="I142" s="8" t="inlineStr">
        <is>
          <t>Not called</t>
        </is>
      </c>
      <c r="J142" s="9" t="n"/>
      <c r="K142" s="8" t="n"/>
      <c r="L142" s="9" t="n"/>
      <c r="M142" s="8" t="inlineStr">
        <is>
          <t>Directory listing: confirm the number on the first call.</t>
        </is>
      </c>
      <c r="N142" s="5" t="inlineStr">
        <is>
          <t>Ask for the owner or GM. Call 2-4pm, between lunch and dinner.</t>
        </is>
      </c>
      <c r="O142" s="5" t="inlineStr">
        <is>
          <t>city-data.com</t>
        </is>
      </c>
    </row>
    <row r="143">
      <c r="A143" s="5" t="n">
        <v>142</v>
      </c>
      <c r="B143" s="6" t="inlineStr">
        <is>
          <t>A</t>
        </is>
      </c>
      <c r="C143" s="5" t="inlineStr">
        <is>
          <t>Glanzmann Subaru</t>
        </is>
      </c>
      <c r="D143" s="5" t="inlineStr">
        <is>
          <t>Car dealership</t>
        </is>
      </c>
      <c r="E143" s="7" t="inlineStr">
        <is>
          <t>(267) 763-3206</t>
        </is>
      </c>
      <c r="F143" s="5" t="inlineStr">
        <is>
          <t>1001 S York Rd</t>
        </is>
      </c>
      <c r="G143" s="5" t="inlineStr">
        <is>
          <t>Hatboro</t>
        </is>
      </c>
      <c r="H143" s="5" t="inlineStr">
        <is>
          <t>Montgomery</t>
        </is>
      </c>
      <c r="I143" s="8" t="inlineStr">
        <is>
          <t>Not called</t>
        </is>
      </c>
      <c r="J143" s="9" t="n"/>
      <c r="K143" s="8" t="n"/>
      <c r="L143" s="9" t="n"/>
      <c r="M143" s="8" t="n"/>
      <c r="N143" s="5" t="inlineStr">
        <is>
          <t>Ask for the general manager. Listing-site numbers can be tracking lines that ring sales.</t>
        </is>
      </c>
      <c r="O143" s="5" t="inlineStr">
        <is>
          <t>kbb.com</t>
        </is>
      </c>
    </row>
    <row r="144">
      <c r="A144" s="5" t="n">
        <v>143</v>
      </c>
      <c r="B144" s="6" t="inlineStr">
        <is>
          <t>A</t>
        </is>
      </c>
      <c r="C144" s="5" t="inlineStr">
        <is>
          <t>Chapman Ford Chrysler Jeep Dodge Ram of Horsham</t>
        </is>
      </c>
      <c r="D144" s="5" t="inlineStr">
        <is>
          <t>Car dealership</t>
        </is>
      </c>
      <c r="E144" s="7" t="inlineStr">
        <is>
          <t>(267) 963-9563</t>
        </is>
      </c>
      <c r="F144" s="5" t="inlineStr">
        <is>
          <t>1100 Easton Rd</t>
        </is>
      </c>
      <c r="G144" s="5" t="inlineStr">
        <is>
          <t>Horsham</t>
        </is>
      </c>
      <c r="H144" s="5" t="inlineStr">
        <is>
          <t>Montgomery</t>
        </is>
      </c>
      <c r="I144" s="8" t="inlineStr">
        <is>
          <t>Not called</t>
        </is>
      </c>
      <c r="J144" s="9" t="n"/>
      <c r="K144" s="8" t="n"/>
      <c r="L144" s="9" t="n"/>
      <c r="M144" s="8" t="n"/>
      <c r="N144" s="5" t="inlineStr">
        <is>
          <t>Ask for the general manager. Listing-site numbers can be tracking lines that ring sales.</t>
        </is>
      </c>
      <c r="O144" s="5" t="inlineStr">
        <is>
          <t>kbb.com</t>
        </is>
      </c>
    </row>
    <row r="145">
      <c r="A145" s="5" t="n">
        <v>144</v>
      </c>
      <c r="B145" s="6" t="inlineStr">
        <is>
          <t>A</t>
        </is>
      </c>
      <c r="C145" s="5" t="inlineStr">
        <is>
          <t>The Cage in Huntingdon Valley</t>
        </is>
      </c>
      <c r="D145" s="5" t="inlineStr">
        <is>
          <t>Restaurant/bar</t>
        </is>
      </c>
      <c r="E145" s="7" t="inlineStr">
        <is>
          <t>(215) 866-5555</t>
        </is>
      </c>
      <c r="F145" s="5" t="inlineStr">
        <is>
          <t>2190 County Line Rd</t>
        </is>
      </c>
      <c r="G145" s="5" t="inlineStr">
        <is>
          <t>Huntingdon Valley</t>
        </is>
      </c>
      <c r="H145" s="5" t="inlineStr">
        <is>
          <t>Montgomery</t>
        </is>
      </c>
      <c r="I145" s="8" t="inlineStr">
        <is>
          <t>Not called</t>
        </is>
      </c>
      <c r="J145" s="9" t="n"/>
      <c r="K145" s="8" t="n"/>
      <c r="L145" s="9" t="n"/>
      <c r="M145" s="8" t="n"/>
      <c r="N145" s="5" t="inlineStr">
        <is>
          <t>Ask for the owner or GM. Call 2-4pm, between lunch and dinner.</t>
        </is>
      </c>
      <c r="O145" s="5" t="inlineStr">
        <is>
          <t>aaa.com</t>
        </is>
      </c>
    </row>
    <row r="146">
      <c r="A146" s="5" t="n">
        <v>145</v>
      </c>
      <c r="B146" s="6" t="inlineStr">
        <is>
          <t>A</t>
        </is>
      </c>
      <c r="C146" s="5" t="inlineStr">
        <is>
          <t>Baederwood Shoppes on the Fairway (Regency Centers)</t>
        </is>
      </c>
      <c r="D146" s="5" t="inlineStr">
        <is>
          <t>Shopping center</t>
        </is>
      </c>
      <c r="E146" s="7" t="inlineStr">
        <is>
          <t>(203) 689-7000</t>
        </is>
      </c>
      <c r="F146" s="5" t="inlineStr">
        <is>
          <t>1537-1659 The Fairway</t>
        </is>
      </c>
      <c r="G146" s="5" t="inlineStr">
        <is>
          <t>Jenkintown</t>
        </is>
      </c>
      <c r="H146" s="5" t="inlineStr">
        <is>
          <t>Montgomery</t>
        </is>
      </c>
      <c r="I146" s="8" t="inlineStr">
        <is>
          <t>Not called</t>
        </is>
      </c>
      <c r="J146" s="9" t="n"/>
      <c r="K146" s="8" t="n"/>
      <c r="L146" s="9" t="n"/>
      <c r="M146" s="8" t="n"/>
      <c r="N146" s="5" t="inlineStr">
        <is>
          <t>Ask who handles holiday decor for the properties. Pitch a 3-year locked rate.</t>
        </is>
      </c>
      <c r="O146" s="5" t="inlineStr">
        <is>
          <t>mallscenters.com (owner's corporate line)</t>
        </is>
      </c>
    </row>
    <row r="147">
      <c r="A147" s="5" t="n">
        <v>146</v>
      </c>
      <c r="B147" s="6" t="inlineStr">
        <is>
          <t>A</t>
        </is>
      </c>
      <c r="C147" s="5" t="inlineStr">
        <is>
          <t>Newbolds Food &amp; Libations</t>
        </is>
      </c>
      <c r="D147" s="5" t="inlineStr">
        <is>
          <t>Restaurant/bar</t>
        </is>
      </c>
      <c r="E147" s="7" t="inlineStr">
        <is>
          <t>(267) 636-5577</t>
        </is>
      </c>
      <c r="F147" s="5" t="inlineStr">
        <is>
          <t>211 York Rd</t>
        </is>
      </c>
      <c r="G147" s="5" t="inlineStr">
        <is>
          <t>Jenkintown</t>
        </is>
      </c>
      <c r="H147" s="5" t="inlineStr">
        <is>
          <t>Montgomery</t>
        </is>
      </c>
      <c r="I147" s="8" t="inlineStr">
        <is>
          <t>Not called</t>
        </is>
      </c>
      <c r="J147" s="9" t="n"/>
      <c r="K147" s="8" t="n"/>
      <c r="L147" s="9" t="n"/>
      <c r="M147" s="8" t="n"/>
      <c r="N147" s="5" t="inlineStr">
        <is>
          <t>Ask for the owner or GM. Call 2-4pm, between lunch and dinner.</t>
        </is>
      </c>
      <c r="O147" s="5" t="inlineStr">
        <is>
          <t>aaa.com</t>
        </is>
      </c>
    </row>
    <row r="148">
      <c r="A148" s="5" t="n">
        <v>147</v>
      </c>
      <c r="B148" s="6" t="inlineStr">
        <is>
          <t>A</t>
        </is>
      </c>
      <c r="C148" s="5" t="inlineStr">
        <is>
          <t>Stove &amp; Tap</t>
        </is>
      </c>
      <c r="D148" s="5" t="inlineStr">
        <is>
          <t>Restaurant/bar</t>
        </is>
      </c>
      <c r="E148" s="7" t="inlineStr">
        <is>
          <t>(215) 393-8277</t>
        </is>
      </c>
      <c r="F148" s="5" t="inlineStr">
        <is>
          <t>329 W Main St</t>
        </is>
      </c>
      <c r="G148" s="5" t="inlineStr">
        <is>
          <t>Lansdale</t>
        </is>
      </c>
      <c r="H148" s="5" t="inlineStr">
        <is>
          <t>Montgomery</t>
        </is>
      </c>
      <c r="I148" s="8" t="inlineStr">
        <is>
          <t>Not called</t>
        </is>
      </c>
      <c r="J148" s="9" t="n"/>
      <c r="K148" s="8" t="n"/>
      <c r="L148" s="9" t="n"/>
      <c r="M148" s="8" t="n"/>
      <c r="N148" s="5" t="inlineStr">
        <is>
          <t>Ask for the owner or GM. Call 2-4pm, between lunch and dinner.</t>
        </is>
      </c>
      <c r="O148" s="5" t="inlineStr">
        <is>
          <t>phillymag.com / toasttab.com</t>
        </is>
      </c>
    </row>
    <row r="149">
      <c r="A149" s="5" t="n">
        <v>148</v>
      </c>
      <c r="B149" s="6" t="inlineStr">
        <is>
          <t>A</t>
        </is>
      </c>
      <c r="C149" s="5" t="inlineStr">
        <is>
          <t>Lansdale Chrysler Jeep Dodge Ram</t>
        </is>
      </c>
      <c r="D149" s="5" t="inlineStr">
        <is>
          <t>Car dealership</t>
        </is>
      </c>
      <c r="E149" s="7" t="inlineStr">
        <is>
          <t>(267) 641-2565</t>
        </is>
      </c>
      <c r="F149" s="5" t="inlineStr">
        <is>
          <t>722 Bethlehem Pike</t>
        </is>
      </c>
      <c r="G149" s="5" t="inlineStr">
        <is>
          <t>Montgomeryville</t>
        </is>
      </c>
      <c r="H149" s="5" t="inlineStr">
        <is>
          <t>Montgomery</t>
        </is>
      </c>
      <c r="I149" s="8" t="inlineStr">
        <is>
          <t>Not called</t>
        </is>
      </c>
      <c r="J149" s="9" t="n"/>
      <c r="K149" s="8" t="n"/>
      <c r="L149" s="9" t="n"/>
      <c r="M149" s="8" t="n"/>
      <c r="N149" s="5" t="inlineStr">
        <is>
          <t>Ask for the general manager. Listing-site numbers can be tracking lines that ring sales.</t>
        </is>
      </c>
      <c r="O149" s="5" t="inlineStr">
        <is>
          <t>kbb.com</t>
        </is>
      </c>
    </row>
    <row r="150">
      <c r="A150" s="5" t="n">
        <v>149</v>
      </c>
      <c r="B150" s="6" t="inlineStr">
        <is>
          <t>A</t>
        </is>
      </c>
      <c r="C150" s="5" t="inlineStr">
        <is>
          <t>Carwagen Auto Sales</t>
        </is>
      </c>
      <c r="D150" s="5" t="inlineStr">
        <is>
          <t>Car dealership</t>
        </is>
      </c>
      <c r="E150" s="7" t="inlineStr">
        <is>
          <t>(215) 734-0106</t>
        </is>
      </c>
      <c r="F150" s="5" t="inlineStr">
        <is>
          <t>2813 Easton Rd</t>
        </is>
      </c>
      <c r="G150" s="5" t="inlineStr">
        <is>
          <t>Willow Grove</t>
        </is>
      </c>
      <c r="H150" s="5" t="inlineStr">
        <is>
          <t>Montgomery</t>
        </is>
      </c>
      <c r="I150" s="8" t="inlineStr">
        <is>
          <t>Not called</t>
        </is>
      </c>
      <c r="J150" s="9" t="n"/>
      <c r="K150" s="8" t="n"/>
      <c r="L150" s="9" t="n"/>
      <c r="M150" s="8" t="n"/>
      <c r="N150" s="5" t="inlineStr">
        <is>
          <t>Ask for the general manager. Listing-site numbers can be tracking lines that ring sales.</t>
        </is>
      </c>
      <c r="O150" s="5" t="inlineStr">
        <is>
          <t>kbb.com</t>
        </is>
      </c>
    </row>
    <row r="151">
      <c r="A151" s="5" t="n">
        <v>150</v>
      </c>
      <c r="B151" s="6" t="inlineStr">
        <is>
          <t>A</t>
        </is>
      </c>
      <c r="C151" s="5" t="inlineStr">
        <is>
          <t>Faulkner Alfa Romeo Maserati of Willow Grove</t>
        </is>
      </c>
      <c r="D151" s="5" t="inlineStr">
        <is>
          <t>Car dealership</t>
        </is>
      </c>
      <c r="E151" s="7" t="inlineStr">
        <is>
          <t>(856) 606-1325</t>
        </is>
      </c>
      <c r="F151" s="5" t="inlineStr">
        <is>
          <t>1520 Easton Rd</t>
        </is>
      </c>
      <c r="G151" s="5" t="inlineStr">
        <is>
          <t>Willow Grove</t>
        </is>
      </c>
      <c r="H151" s="5" t="inlineStr">
        <is>
          <t>Montgomery</t>
        </is>
      </c>
      <c r="I151" s="8" t="inlineStr">
        <is>
          <t>Not called</t>
        </is>
      </c>
      <c r="J151" s="9" t="n"/>
      <c r="K151" s="8" t="n"/>
      <c r="L151" s="9" t="n"/>
      <c r="M151" s="8" t="n"/>
      <c r="N151" s="5" t="inlineStr">
        <is>
          <t>Ask for the general manager. Listing-site numbers can be tracking lines that ring sales.</t>
        </is>
      </c>
      <c r="O151" s="5" t="inlineStr">
        <is>
          <t>kbb.com</t>
        </is>
      </c>
    </row>
    <row r="152">
      <c r="A152" s="5" t="n">
        <v>151</v>
      </c>
      <c r="B152" s="6" t="inlineStr">
        <is>
          <t>A</t>
        </is>
      </c>
      <c r="C152" s="5" t="inlineStr">
        <is>
          <t>Germosen Auto Willow Grove</t>
        </is>
      </c>
      <c r="D152" s="5" t="inlineStr">
        <is>
          <t>Car dealership</t>
        </is>
      </c>
      <c r="E152" s="7" t="inlineStr">
        <is>
          <t>(267) 335-5444</t>
        </is>
      </c>
      <c r="F152" s="5" t="inlineStr">
        <is>
          <t>1705 Easton Rd</t>
        </is>
      </c>
      <c r="G152" s="5" t="inlineStr">
        <is>
          <t>Willow Grove</t>
        </is>
      </c>
      <c r="H152" s="5" t="inlineStr">
        <is>
          <t>Montgomery</t>
        </is>
      </c>
      <c r="I152" s="8" t="inlineStr">
        <is>
          <t>Not called</t>
        </is>
      </c>
      <c r="J152" s="9" t="n"/>
      <c r="K152" s="8" t="n"/>
      <c r="L152" s="9" t="n"/>
      <c r="M152" s="8" t="n"/>
      <c r="N152" s="5" t="inlineStr">
        <is>
          <t>Ask for the general manager. Listing-site numbers can be tracking lines that ring sales.</t>
        </is>
      </c>
      <c r="O152" s="5" t="inlineStr">
        <is>
          <t>kbb.com</t>
        </is>
      </c>
    </row>
    <row r="153">
      <c r="A153" s="5" t="n">
        <v>152</v>
      </c>
      <c r="B153" s="6" t="inlineStr">
        <is>
          <t>A</t>
        </is>
      </c>
      <c r="C153" s="5" t="inlineStr">
        <is>
          <t>Jaguar Land Rover Willow Grove</t>
        </is>
      </c>
      <c r="D153" s="5" t="inlineStr">
        <is>
          <t>Car dealership</t>
        </is>
      </c>
      <c r="E153" s="7" t="inlineStr">
        <is>
          <t>(267) 913-2021</t>
        </is>
      </c>
      <c r="F153" s="5" t="inlineStr">
        <is>
          <t>900 York Rd</t>
        </is>
      </c>
      <c r="G153" s="5" t="inlineStr">
        <is>
          <t>Willow Grove</t>
        </is>
      </c>
      <c r="H153" s="5" t="inlineStr">
        <is>
          <t>Montgomery</t>
        </is>
      </c>
      <c r="I153" s="8" t="inlineStr">
        <is>
          <t>Not called</t>
        </is>
      </c>
      <c r="J153" s="9" t="n"/>
      <c r="K153" s="8" t="n"/>
      <c r="L153" s="9" t="n"/>
      <c r="M153" s="8" t="n"/>
      <c r="N153" s="5" t="inlineStr">
        <is>
          <t>Ask for the general manager. Listing-site numbers can be tracking lines that ring sales.</t>
        </is>
      </c>
      <c r="O153" s="5" t="inlineStr">
        <is>
          <t>kbb.com</t>
        </is>
      </c>
    </row>
    <row r="154">
      <c r="A154" s="5" t="n">
        <v>153</v>
      </c>
      <c r="B154" s="6" t="inlineStr">
        <is>
          <t>A</t>
        </is>
      </c>
      <c r="C154" s="5" t="inlineStr">
        <is>
          <t>Selden Motors</t>
        </is>
      </c>
      <c r="D154" s="5" t="inlineStr">
        <is>
          <t>Car dealership</t>
        </is>
      </c>
      <c r="E154" s="7" t="inlineStr">
        <is>
          <t>(484) 440-0101</t>
        </is>
      </c>
      <c r="F154" s="5" t="inlineStr">
        <is>
          <t>2380 Maryland Rd</t>
        </is>
      </c>
      <c r="G154" s="5" t="inlineStr">
        <is>
          <t>Willow Grove</t>
        </is>
      </c>
      <c r="H154" s="5" t="inlineStr">
        <is>
          <t>Montgomery</t>
        </is>
      </c>
      <c r="I154" s="8" t="inlineStr">
        <is>
          <t>Not called</t>
        </is>
      </c>
      <c r="J154" s="9" t="n"/>
      <c r="K154" s="8" t="n"/>
      <c r="L154" s="9" t="n"/>
      <c r="M154" s="8" t="n"/>
      <c r="N154" s="5" t="inlineStr">
        <is>
          <t>Ask for the general manager. Listing-site numbers can be tracking lines that ring sales.</t>
        </is>
      </c>
      <c r="O154" s="5" t="inlineStr">
        <is>
          <t>kbb.com</t>
        </is>
      </c>
    </row>
    <row r="155">
      <c r="A155" s="5" t="n">
        <v>154</v>
      </c>
      <c r="B155" s="6" t="inlineStr">
        <is>
          <t>A</t>
        </is>
      </c>
      <c r="C155" s="5" t="inlineStr">
        <is>
          <t>Thompson Lexus Willow Grove</t>
        </is>
      </c>
      <c r="D155" s="5" t="inlineStr">
        <is>
          <t>Car dealership</t>
        </is>
      </c>
      <c r="E155" s="7" t="inlineStr">
        <is>
          <t>(610) 632-6506</t>
        </is>
      </c>
      <c r="F155" s="5" t="inlineStr">
        <is>
          <t>2560 Maryland Rd</t>
        </is>
      </c>
      <c r="G155" s="5" t="inlineStr">
        <is>
          <t>Willow Grove</t>
        </is>
      </c>
      <c r="H155" s="5" t="inlineStr">
        <is>
          <t>Montgomery</t>
        </is>
      </c>
      <c r="I155" s="8" t="inlineStr">
        <is>
          <t>Not called</t>
        </is>
      </c>
      <c r="J155" s="9" t="n"/>
      <c r="K155" s="8" t="n"/>
      <c r="L155" s="9" t="n"/>
      <c r="M155" s="8" t="n"/>
      <c r="N155" s="5" t="inlineStr">
        <is>
          <t>Ask for the general manager. Listing-site numbers can be tracking lines that ring sales.</t>
        </is>
      </c>
      <c r="O155" s="5" t="inlineStr">
        <is>
          <t>kbb.com</t>
        </is>
      </c>
    </row>
    <row r="156">
      <c r="A156" s="5" t="n">
        <v>155</v>
      </c>
      <c r="B156" s="10" t="inlineStr">
        <is>
          <t>B</t>
        </is>
      </c>
      <c r="C156" s="5" t="inlineStr">
        <is>
          <t>Ambler Main Street</t>
        </is>
      </c>
      <c r="D156" s="5" t="inlineStr">
        <is>
          <t>Business district association</t>
        </is>
      </c>
      <c r="E156" s="7" t="inlineStr">
        <is>
          <t>(215) 527-6906</t>
        </is>
      </c>
      <c r="F156" s="5" t="inlineStr">
        <is>
          <t>PO Box 36</t>
        </is>
      </c>
      <c r="G156" s="5" t="inlineStr">
        <is>
          <t>Ambler</t>
        </is>
      </c>
      <c r="H156" s="5" t="inlineStr">
        <is>
          <t>Montgomery</t>
        </is>
      </c>
      <c r="I156" s="8" t="inlineStr">
        <is>
          <t>Not called</t>
        </is>
      </c>
      <c r="J156" s="9" t="n"/>
      <c r="K156" s="8" t="n"/>
      <c r="L156" s="9" t="n"/>
      <c r="M156" s="8" t="inlineStr">
        <is>
          <t>Older listing: confirm the business and contact are current.</t>
        </is>
      </c>
      <c r="N156" s="5" t="inlineStr">
        <is>
          <t>Ask who plans holiday streetscape lighting and when the budget is set.</t>
        </is>
      </c>
      <c r="O156" s="5" t="inlineStr">
        <is>
          <t>progressfund.org (2020 list; contact may have changed)</t>
        </is>
      </c>
    </row>
    <row r="157">
      <c r="A157" s="5" t="n">
        <v>156</v>
      </c>
      <c r="B157" s="10" t="inlineStr">
        <is>
          <t>B</t>
        </is>
      </c>
      <c r="C157" s="5" t="inlineStr">
        <is>
          <t>From the Boot</t>
        </is>
      </c>
      <c r="D157" s="5" t="inlineStr">
        <is>
          <t>Restaurant</t>
        </is>
      </c>
      <c r="E157" s="7" t="inlineStr">
        <is>
          <t>(215) 646-0123</t>
        </is>
      </c>
      <c r="F157" s="5" t="inlineStr">
        <is>
          <t>110 E Butler Pike</t>
        </is>
      </c>
      <c r="G157" s="5" t="inlineStr">
        <is>
          <t>Ambler</t>
        </is>
      </c>
      <c r="H157" s="5" t="inlineStr">
        <is>
          <t>Montgomery</t>
        </is>
      </c>
      <c r="I157" s="8" t="inlineStr">
        <is>
          <t>Not called</t>
        </is>
      </c>
      <c r="J157" s="9" t="n"/>
      <c r="K157" s="8" t="n"/>
      <c r="L157" s="9" t="n"/>
      <c r="M157" s="8" t="n"/>
      <c r="N157" s="5" t="inlineStr">
        <is>
          <t>Ask for the owner or GM. Call 2-4pm, between lunch and dinner.</t>
        </is>
      </c>
      <c r="O157" s="5" t="inlineStr">
        <is>
          <t>guidetophilly.com</t>
        </is>
      </c>
    </row>
    <row r="158">
      <c r="A158" s="5" t="n">
        <v>157</v>
      </c>
      <c r="B158" s="10" t="inlineStr">
        <is>
          <t>B</t>
        </is>
      </c>
      <c r="C158" s="5" t="inlineStr">
        <is>
          <t>Melody's Vietnam</t>
        </is>
      </c>
      <c r="D158" s="5" t="inlineStr">
        <is>
          <t>Restaurant</t>
        </is>
      </c>
      <c r="E158" s="7" t="inlineStr">
        <is>
          <t>(215) 641-5806</t>
        </is>
      </c>
      <c r="F158" s="5" t="inlineStr">
        <is>
          <t>47 E Butler Ave</t>
        </is>
      </c>
      <c r="G158" s="5" t="inlineStr">
        <is>
          <t>Ambler</t>
        </is>
      </c>
      <c r="H158" s="5" t="inlineStr">
        <is>
          <t>Montgomery</t>
        </is>
      </c>
      <c r="I158" s="8" t="inlineStr">
        <is>
          <t>Not called</t>
        </is>
      </c>
      <c r="J158" s="9" t="n"/>
      <c r="K158" s="8" t="n"/>
      <c r="L158" s="9" t="n"/>
      <c r="M158" s="8" t="n"/>
      <c r="N158" s="5" t="inlineStr">
        <is>
          <t>Ask for the owner or GM. Call 2-4pm, between lunch and dinner.</t>
        </is>
      </c>
      <c r="O158" s="5" t="inlineStr">
        <is>
          <t>guidetophilly.com</t>
        </is>
      </c>
    </row>
    <row r="159">
      <c r="A159" s="5" t="n">
        <v>158</v>
      </c>
      <c r="B159" s="10" t="inlineStr">
        <is>
          <t>B</t>
        </is>
      </c>
      <c r="C159" s="5" t="inlineStr">
        <is>
          <t>Saffron Indian Kitchen</t>
        </is>
      </c>
      <c r="D159" s="5" t="inlineStr">
        <is>
          <t>Restaurant</t>
        </is>
      </c>
      <c r="E159" s="7" t="inlineStr">
        <is>
          <t>(215) 540-0237</t>
        </is>
      </c>
      <c r="F159" s="5" t="inlineStr">
        <is>
          <t>60 E Butler Ave</t>
        </is>
      </c>
      <c r="G159" s="5" t="inlineStr">
        <is>
          <t>Ambler</t>
        </is>
      </c>
      <c r="H159" s="5" t="inlineStr">
        <is>
          <t>Montgomery</t>
        </is>
      </c>
      <c r="I159" s="8" t="inlineStr">
        <is>
          <t>Not called</t>
        </is>
      </c>
      <c r="J159" s="9" t="n"/>
      <c r="K159" s="8" t="n"/>
      <c r="L159" s="9" t="n"/>
      <c r="M159" s="8" t="n"/>
      <c r="N159" s="5" t="inlineStr">
        <is>
          <t>Ask for the owner or GM. Call 2-4pm, between lunch and dinner.</t>
        </is>
      </c>
      <c r="O159" s="5" t="inlineStr">
        <is>
          <t>guidetophilly.com</t>
        </is>
      </c>
    </row>
    <row r="160">
      <c r="A160" s="5" t="n">
        <v>159</v>
      </c>
      <c r="B160" s="10" t="inlineStr">
        <is>
          <t>B</t>
        </is>
      </c>
      <c r="C160" s="5" t="inlineStr">
        <is>
          <t>Buena Vista 2 Restaurant</t>
        </is>
      </c>
      <c r="D160" s="5" t="inlineStr">
        <is>
          <t>Restaurant</t>
        </is>
      </c>
      <c r="E160" s="7" t="inlineStr">
        <is>
          <t>(215) 420-7749</t>
        </is>
      </c>
      <c r="F160" s="5" t="inlineStr">
        <is>
          <t>119 S York Rd</t>
        </is>
      </c>
      <c r="G160" s="5" t="inlineStr">
        <is>
          <t>Hatboro</t>
        </is>
      </c>
      <c r="H160" s="5" t="inlineStr">
        <is>
          <t>Montgomery</t>
        </is>
      </c>
      <c r="I160" s="8" t="inlineStr">
        <is>
          <t>Not called</t>
        </is>
      </c>
      <c r="J160" s="9" t="n"/>
      <c r="K160" s="8" t="n"/>
      <c r="L160" s="9" t="n"/>
      <c r="M160" s="8" t="inlineStr">
        <is>
          <t>Directory listing: confirm the number on the first call.</t>
        </is>
      </c>
      <c r="N160" s="5" t="inlineStr">
        <is>
          <t>Ask for the owner or GM. Call 2-4pm, between lunch and dinner.</t>
        </is>
      </c>
      <c r="O160" s="5" t="inlineStr">
        <is>
          <t>city-data.com</t>
        </is>
      </c>
    </row>
    <row r="161">
      <c r="A161" s="5" t="n">
        <v>160</v>
      </c>
      <c r="B161" s="10" t="inlineStr">
        <is>
          <t>B</t>
        </is>
      </c>
      <c r="C161" s="5" t="inlineStr">
        <is>
          <t>Cafe La Fontana</t>
        </is>
      </c>
      <c r="D161" s="5" t="inlineStr">
        <is>
          <t>Restaurant</t>
        </is>
      </c>
      <c r="E161" s="7" t="inlineStr">
        <is>
          <t>(215) 672-8118</t>
        </is>
      </c>
      <c r="F161" s="5" t="inlineStr">
        <is>
          <t>58 S York Rd</t>
        </is>
      </c>
      <c r="G161" s="5" t="inlineStr">
        <is>
          <t>Hatboro</t>
        </is>
      </c>
      <c r="H161" s="5" t="inlineStr">
        <is>
          <t>Montgomery</t>
        </is>
      </c>
      <c r="I161" s="8" t="inlineStr">
        <is>
          <t>Not called</t>
        </is>
      </c>
      <c r="J161" s="9" t="n"/>
      <c r="K161" s="8" t="n"/>
      <c r="L161" s="9" t="n"/>
      <c r="M161" s="8" t="inlineStr">
        <is>
          <t>Directory listing: confirm the number on the first call.</t>
        </is>
      </c>
      <c r="N161" s="5" t="inlineStr">
        <is>
          <t>Ask for the owner or GM. Call 2-4pm, between lunch and dinner.</t>
        </is>
      </c>
      <c r="O161" s="5" t="inlineStr">
        <is>
          <t>city-data.com</t>
        </is>
      </c>
    </row>
    <row r="162">
      <c r="A162" s="5" t="n">
        <v>161</v>
      </c>
      <c r="B162" s="10" t="inlineStr">
        <is>
          <t>B</t>
        </is>
      </c>
      <c r="C162" s="5" t="inlineStr">
        <is>
          <t>Cafe Mambo</t>
        </is>
      </c>
      <c r="D162" s="5" t="inlineStr">
        <is>
          <t>Restaurant</t>
        </is>
      </c>
      <c r="E162" s="7" t="inlineStr">
        <is>
          <t>(215) 420-7496</t>
        </is>
      </c>
      <c r="F162" s="5" t="inlineStr">
        <is>
          <t>802 S York Rd</t>
        </is>
      </c>
      <c r="G162" s="5" t="inlineStr">
        <is>
          <t>Hatboro</t>
        </is>
      </c>
      <c r="H162" s="5" t="inlineStr">
        <is>
          <t>Montgomery</t>
        </is>
      </c>
      <c r="I162" s="8" t="inlineStr">
        <is>
          <t>Not called</t>
        </is>
      </c>
      <c r="J162" s="9" t="n"/>
      <c r="K162" s="8" t="n"/>
      <c r="L162" s="9" t="n"/>
      <c r="M162" s="8" t="inlineStr">
        <is>
          <t>Directory listing: confirm the number on the first call.</t>
        </is>
      </c>
      <c r="N162" s="5" t="inlineStr">
        <is>
          <t>Ask for the owner or GM. Call 2-4pm, between lunch and dinner.</t>
        </is>
      </c>
      <c r="O162" s="5" t="inlineStr">
        <is>
          <t>city-data.com</t>
        </is>
      </c>
    </row>
    <row r="163">
      <c r="A163" s="5" t="n">
        <v>162</v>
      </c>
      <c r="B163" s="10" t="inlineStr">
        <is>
          <t>B</t>
        </is>
      </c>
      <c r="C163" s="5" t="inlineStr">
        <is>
          <t>Daddypop's Diner</t>
        </is>
      </c>
      <c r="D163" s="5" t="inlineStr">
        <is>
          <t>Restaurant</t>
        </is>
      </c>
      <c r="E163" s="7" t="inlineStr">
        <is>
          <t>(215) 675-9719</t>
        </is>
      </c>
      <c r="F163" s="5" t="inlineStr">
        <is>
          <t>232 N York Rd</t>
        </is>
      </c>
      <c r="G163" s="5" t="inlineStr">
        <is>
          <t>Hatboro</t>
        </is>
      </c>
      <c r="H163" s="5" t="inlineStr">
        <is>
          <t>Montgomery</t>
        </is>
      </c>
      <c r="I163" s="8" t="inlineStr">
        <is>
          <t>Not called</t>
        </is>
      </c>
      <c r="J163" s="9" t="n"/>
      <c r="K163" s="8" t="n"/>
      <c r="L163" s="9" t="n"/>
      <c r="M163" s="8" t="inlineStr">
        <is>
          <t>Directory listing: confirm the number on the first call.</t>
        </is>
      </c>
      <c r="N163" s="5" t="inlineStr">
        <is>
          <t>Ask for the owner or GM. Call 2-4pm, between lunch and dinner.</t>
        </is>
      </c>
      <c r="O163" s="5" t="inlineStr">
        <is>
          <t>city-data.com</t>
        </is>
      </c>
    </row>
    <row r="164">
      <c r="A164" s="5" t="n">
        <v>163</v>
      </c>
      <c r="B164" s="10" t="inlineStr">
        <is>
          <t>B</t>
        </is>
      </c>
      <c r="C164" s="5" t="inlineStr">
        <is>
          <t>EZ Choice</t>
        </is>
      </c>
      <c r="D164" s="5" t="inlineStr">
        <is>
          <t>Restaurant</t>
        </is>
      </c>
      <c r="E164" s="7" t="inlineStr">
        <is>
          <t>(215) 672-6699</t>
        </is>
      </c>
      <c r="F164" s="5" t="inlineStr">
        <is>
          <t>993 W County Line Rd</t>
        </is>
      </c>
      <c r="G164" s="5" t="inlineStr">
        <is>
          <t>Hatboro</t>
        </is>
      </c>
      <c r="H164" s="5" t="inlineStr">
        <is>
          <t>Montgomery</t>
        </is>
      </c>
      <c r="I164" s="8" t="inlineStr">
        <is>
          <t>Not called</t>
        </is>
      </c>
      <c r="J164" s="9" t="n"/>
      <c r="K164" s="8" t="n"/>
      <c r="L164" s="9" t="n"/>
      <c r="M164" s="8" t="inlineStr">
        <is>
          <t>Directory listing: confirm the number on the first call.</t>
        </is>
      </c>
      <c r="N164" s="5" t="inlineStr">
        <is>
          <t>Ask for the owner or GM. Call 2-4pm, between lunch and dinner.</t>
        </is>
      </c>
      <c r="O164" s="5" t="inlineStr">
        <is>
          <t>city-data.com</t>
        </is>
      </c>
    </row>
    <row r="165">
      <c r="A165" s="5" t="n">
        <v>164</v>
      </c>
      <c r="B165" s="10" t="inlineStr">
        <is>
          <t>B</t>
        </is>
      </c>
      <c r="C165" s="5" t="inlineStr">
        <is>
          <t>Hatboro Main Street (Borough of Hatboro)</t>
        </is>
      </c>
      <c r="D165" s="5" t="inlineStr">
        <is>
          <t>Business district / borough</t>
        </is>
      </c>
      <c r="E165" s="7" t="inlineStr">
        <is>
          <t>(215) 443-9100</t>
        </is>
      </c>
      <c r="F165" s="5" t="inlineStr">
        <is>
          <t>414 S York Rd</t>
        </is>
      </c>
      <c r="G165" s="5" t="inlineStr">
        <is>
          <t>Hatboro</t>
        </is>
      </c>
      <c r="H165" s="5" t="inlineStr">
        <is>
          <t>Montgomery</t>
        </is>
      </c>
      <c r="I165" s="8" t="inlineStr">
        <is>
          <t>Not called</t>
        </is>
      </c>
      <c r="J165" s="9" t="n"/>
      <c r="K165" s="8" t="n"/>
      <c r="L165" s="9" t="n"/>
      <c r="M165" s="8" t="inlineStr">
        <is>
          <t>Older listing: confirm the business and contact are current.</t>
        </is>
      </c>
      <c r="N165" s="5" t="inlineStr">
        <is>
          <t>Ask who plans holiday streetscape lighting and when the budget is set.</t>
        </is>
      </c>
      <c r="O165" s="5" t="inlineStr">
        <is>
          <t>progressfund.org (2020 list; contact may have changed)</t>
        </is>
      </c>
    </row>
    <row r="166">
      <c r="A166" s="5" t="n">
        <v>165</v>
      </c>
      <c r="B166" s="10" t="inlineStr">
        <is>
          <t>B</t>
        </is>
      </c>
      <c r="C166" s="5" t="inlineStr">
        <is>
          <t>Buona Sera Horsham</t>
        </is>
      </c>
      <c r="D166" s="5" t="inlineStr">
        <is>
          <t>Restaurant</t>
        </is>
      </c>
      <c r="E166" s="7" t="inlineStr">
        <is>
          <t>(215) 957-5122</t>
        </is>
      </c>
      <c r="F166" s="5" t="inlineStr">
        <is>
          <t>537 Easton Rd</t>
        </is>
      </c>
      <c r="G166" s="5" t="inlineStr">
        <is>
          <t>Horsham</t>
        </is>
      </c>
      <c r="H166" s="5" t="inlineStr">
        <is>
          <t>Montgomery</t>
        </is>
      </c>
      <c r="I166" s="8" t="inlineStr">
        <is>
          <t>Not called</t>
        </is>
      </c>
      <c r="J166" s="9" t="n"/>
      <c r="K166" s="8" t="n"/>
      <c r="L166" s="9" t="n"/>
      <c r="M166" s="8" t="n"/>
      <c r="N166" s="5" t="inlineStr">
        <is>
          <t>Ask for the owner or GM. Call 2-4pm, between lunch and dinner.</t>
        </is>
      </c>
      <c r="O166" s="5" t="inlineStr">
        <is>
          <t>patch.com</t>
        </is>
      </c>
    </row>
    <row r="167">
      <c r="A167" s="5" t="n">
        <v>166</v>
      </c>
      <c r="B167" s="10" t="inlineStr">
        <is>
          <t>B</t>
        </is>
      </c>
      <c r="C167" s="5" t="inlineStr">
        <is>
          <t>Masala Zone</t>
        </is>
      </c>
      <c r="D167" s="5" t="inlineStr">
        <is>
          <t>Restaurant</t>
        </is>
      </c>
      <c r="E167" s="7" t="inlineStr">
        <is>
          <t>(215) 394-8049</t>
        </is>
      </c>
      <c r="F167" s="5" t="inlineStr">
        <is>
          <t>316 Horsham Rd</t>
        </is>
      </c>
      <c r="G167" s="5" t="inlineStr">
        <is>
          <t>Horsham</t>
        </is>
      </c>
      <c r="H167" s="5" t="inlineStr">
        <is>
          <t>Montgomery</t>
        </is>
      </c>
      <c r="I167" s="8" t="inlineStr">
        <is>
          <t>Not called</t>
        </is>
      </c>
      <c r="J167" s="9" t="n"/>
      <c r="K167" s="8" t="n"/>
      <c r="L167" s="9" t="n"/>
      <c r="M167" s="8" t="n"/>
      <c r="N167" s="5" t="inlineStr">
        <is>
          <t>Ask for the owner or GM. Call 2-4pm, between lunch and dinner.</t>
        </is>
      </c>
      <c r="O167" s="5" t="inlineStr">
        <is>
          <t>frankiapp.com</t>
        </is>
      </c>
    </row>
    <row r="168">
      <c r="A168" s="5" t="n">
        <v>167</v>
      </c>
      <c r="B168" s="10" t="inlineStr">
        <is>
          <t>B</t>
        </is>
      </c>
      <c r="C168" s="5" t="inlineStr">
        <is>
          <t>Wok N' Roll Asian Cuisine</t>
        </is>
      </c>
      <c r="D168" s="5" t="inlineStr">
        <is>
          <t>Restaurant</t>
        </is>
      </c>
      <c r="E168" s="7" t="inlineStr">
        <is>
          <t>(267) 800-5772</t>
        </is>
      </c>
      <c r="F168" s="5" t="inlineStr">
        <is>
          <t>Horsham Point Shopping Center (Horsham &amp; Dresher Rds)</t>
        </is>
      </c>
      <c r="G168" s="5" t="inlineStr">
        <is>
          <t>Horsham</t>
        </is>
      </c>
      <c r="H168" s="5" t="inlineStr">
        <is>
          <t>Montgomery</t>
        </is>
      </c>
      <c r="I168" s="8" t="inlineStr">
        <is>
          <t>Not called</t>
        </is>
      </c>
      <c r="J168" s="9" t="n"/>
      <c r="K168" s="8" t="n"/>
      <c r="L168" s="9" t="n"/>
      <c r="M168" s="8" t="n"/>
      <c r="N168" s="5" t="inlineStr">
        <is>
          <t>Ask for the owner or GM. Call 2-4pm, between lunch and dinner.</t>
        </is>
      </c>
      <c r="O168" s="5" t="inlineStr">
        <is>
          <t>patch.com</t>
        </is>
      </c>
    </row>
    <row r="169">
      <c r="A169" s="5" t="n">
        <v>168</v>
      </c>
      <c r="B169" s="10" t="inlineStr">
        <is>
          <t>B</t>
        </is>
      </c>
      <c r="C169" s="5" t="inlineStr">
        <is>
          <t>La Strada Italian Restaurant</t>
        </is>
      </c>
      <c r="D169" s="5" t="inlineStr">
        <is>
          <t>Restaurant</t>
        </is>
      </c>
      <c r="E169" s="7" t="inlineStr">
        <is>
          <t>(215) 947-1818</t>
        </is>
      </c>
      <c r="F169" s="5" t="inlineStr">
        <is>
          <t>Valley Court Yard of Shops</t>
        </is>
      </c>
      <c r="G169" s="5" t="inlineStr">
        <is>
          <t>Huntingdon Valley</t>
        </is>
      </c>
      <c r="H169" s="5" t="inlineStr">
        <is>
          <t>Montgomery</t>
        </is>
      </c>
      <c r="I169" s="8" t="inlineStr">
        <is>
          <t>Not called</t>
        </is>
      </c>
      <c r="J169" s="9" t="n"/>
      <c r="K169" s="8" t="n"/>
      <c r="L169" s="9" t="n"/>
      <c r="M169" s="8" t="n"/>
      <c r="N169" s="5" t="inlineStr">
        <is>
          <t>Ask for the owner or GM. Call 2-4pm, between lunch and dinner.</t>
        </is>
      </c>
      <c r="O169" s="5" t="inlineStr">
        <is>
          <t>opentable</t>
        </is>
      </c>
    </row>
    <row r="170">
      <c r="A170" s="5" t="n">
        <v>169</v>
      </c>
      <c r="B170" s="10" t="inlineStr">
        <is>
          <t>B</t>
        </is>
      </c>
      <c r="C170" s="5" t="inlineStr">
        <is>
          <t>Pizza Wheel Brick Oven Italian Kitchen</t>
        </is>
      </c>
      <c r="D170" s="5" t="inlineStr">
        <is>
          <t>Restaurant</t>
        </is>
      </c>
      <c r="E170" s="7" t="inlineStr">
        <is>
          <t>(267) 200-7492</t>
        </is>
      </c>
      <c r="F170" s="5" t="inlineStr">
        <is>
          <t>314 York Rd</t>
        </is>
      </c>
      <c r="G170" s="5" t="inlineStr">
        <is>
          <t>Jenkintown</t>
        </is>
      </c>
      <c r="H170" s="5" t="inlineStr">
        <is>
          <t>Montgomery</t>
        </is>
      </c>
      <c r="I170" s="8" t="inlineStr">
        <is>
          <t>Not called</t>
        </is>
      </c>
      <c r="J170" s="9" t="n"/>
      <c r="K170" s="8" t="n"/>
      <c r="L170" s="9" t="n"/>
      <c r="M170" s="8" t="n"/>
      <c r="N170" s="5" t="inlineStr">
        <is>
          <t>Ask for the owner or GM. Call 2-4pm, between lunch and dinner.</t>
        </is>
      </c>
      <c r="O170" s="5" t="inlineStr">
        <is>
          <t>aaa.com</t>
        </is>
      </c>
    </row>
    <row r="171">
      <c r="A171" s="5" t="n">
        <v>170</v>
      </c>
      <c r="B171" s="10" t="inlineStr">
        <is>
          <t>B</t>
        </is>
      </c>
      <c r="C171" s="5" t="inlineStr">
        <is>
          <t>Amarilis Cafe</t>
        </is>
      </c>
      <c r="D171" s="5" t="inlineStr">
        <is>
          <t>Restaurant</t>
        </is>
      </c>
      <c r="E171" s="7" t="inlineStr">
        <is>
          <t>(215) 362-3494</t>
        </is>
      </c>
      <c r="F171" s="5" t="inlineStr">
        <is>
          <t>312 W Main St</t>
        </is>
      </c>
      <c r="G171" s="5" t="inlineStr">
        <is>
          <t>Lansdale</t>
        </is>
      </c>
      <c r="H171" s="5" t="inlineStr">
        <is>
          <t>Montgomery</t>
        </is>
      </c>
      <c r="I171" s="8" t="inlineStr">
        <is>
          <t>Not called</t>
        </is>
      </c>
      <c r="J171" s="9" t="n"/>
      <c r="K171" s="8" t="n"/>
      <c r="L171" s="9" t="n"/>
      <c r="M171" s="8" t="inlineStr">
        <is>
          <t>Directory listing: confirm the number on the first call.</t>
        </is>
      </c>
      <c r="N171" s="5" t="inlineStr">
        <is>
          <t>Ask for the owner or GM. Call 2-4pm, between lunch and dinner.</t>
        </is>
      </c>
      <c r="O171" s="5" t="inlineStr">
        <is>
          <t>city-data.com</t>
        </is>
      </c>
    </row>
    <row r="172">
      <c r="A172" s="5" t="n">
        <v>171</v>
      </c>
      <c r="B172" s="10" t="inlineStr">
        <is>
          <t>B</t>
        </is>
      </c>
      <c r="C172" s="5" t="inlineStr">
        <is>
          <t>Amber Asian Cafe</t>
        </is>
      </c>
      <c r="D172" s="5" t="inlineStr">
        <is>
          <t>Restaurant</t>
        </is>
      </c>
      <c r="E172" s="7" t="inlineStr">
        <is>
          <t>(215) 362-8989</t>
        </is>
      </c>
      <c r="F172" s="5" t="inlineStr">
        <is>
          <t>860 W Main St</t>
        </is>
      </c>
      <c r="G172" s="5" t="inlineStr">
        <is>
          <t>Lansdale</t>
        </is>
      </c>
      <c r="H172" s="5" t="inlineStr">
        <is>
          <t>Montgomery</t>
        </is>
      </c>
      <c r="I172" s="8" t="inlineStr">
        <is>
          <t>Not called</t>
        </is>
      </c>
      <c r="J172" s="9" t="n"/>
      <c r="K172" s="8" t="n"/>
      <c r="L172" s="9" t="n"/>
      <c r="M172" s="8" t="inlineStr">
        <is>
          <t>Directory listing: confirm the number on the first call.</t>
        </is>
      </c>
      <c r="N172" s="5" t="inlineStr">
        <is>
          <t>Ask for the owner or GM. Call 2-4pm, between lunch and dinner.</t>
        </is>
      </c>
      <c r="O172" s="5" t="inlineStr">
        <is>
          <t>city-data.com</t>
        </is>
      </c>
    </row>
    <row r="173">
      <c r="A173" s="5" t="n">
        <v>172</v>
      </c>
      <c r="B173" s="10" t="inlineStr">
        <is>
          <t>B</t>
        </is>
      </c>
      <c r="C173" s="5" t="inlineStr">
        <is>
          <t>Izu Sushi</t>
        </is>
      </c>
      <c r="D173" s="5" t="inlineStr">
        <is>
          <t>Restaurant</t>
        </is>
      </c>
      <c r="E173" s="7" t="inlineStr">
        <is>
          <t>(215) 393-3800</t>
        </is>
      </c>
      <c r="F173" s="5" t="inlineStr">
        <is>
          <t>322 1/2 W Main St</t>
        </is>
      </c>
      <c r="G173" s="5" t="inlineStr">
        <is>
          <t>Lansdale</t>
        </is>
      </c>
      <c r="H173" s="5" t="inlineStr">
        <is>
          <t>Montgomery</t>
        </is>
      </c>
      <c r="I173" s="8" t="inlineStr">
        <is>
          <t>Not called</t>
        </is>
      </c>
      <c r="J173" s="9" t="n"/>
      <c r="K173" s="8" t="n"/>
      <c r="L173" s="9" t="n"/>
      <c r="M173" s="8" t="inlineStr">
        <is>
          <t>Directory listing: confirm the number on the first call.</t>
        </is>
      </c>
      <c r="N173" s="5" t="inlineStr">
        <is>
          <t>Ask for the owner or GM. Call 2-4pm, between lunch and dinner.</t>
        </is>
      </c>
      <c r="O173" s="5" t="inlineStr">
        <is>
          <t>city-data.com</t>
        </is>
      </c>
    </row>
    <row r="174">
      <c r="A174" s="5" t="n">
        <v>173</v>
      </c>
      <c r="B174" s="10" t="inlineStr">
        <is>
          <t>B</t>
        </is>
      </c>
      <c r="C174" s="5" t="inlineStr">
        <is>
          <t>Main Street Pizzeria &amp; Grille</t>
        </is>
      </c>
      <c r="D174" s="5" t="inlineStr">
        <is>
          <t>Restaurant</t>
        </is>
      </c>
      <c r="E174" s="7" t="inlineStr">
        <is>
          <t>(215) 368-0210</t>
        </is>
      </c>
      <c r="F174" s="5" t="inlineStr">
        <is>
          <t>328 W Main St</t>
        </is>
      </c>
      <c r="G174" s="5" t="inlineStr">
        <is>
          <t>Lansdale</t>
        </is>
      </c>
      <c r="H174" s="5" t="inlineStr">
        <is>
          <t>Montgomery</t>
        </is>
      </c>
      <c r="I174" s="8" t="inlineStr">
        <is>
          <t>Not called</t>
        </is>
      </c>
      <c r="J174" s="9" t="n"/>
      <c r="K174" s="8" t="n"/>
      <c r="L174" s="9" t="n"/>
      <c r="M174" s="8" t="inlineStr">
        <is>
          <t>Directory listing: confirm the number on the first call.</t>
        </is>
      </c>
      <c r="N174" s="5" t="inlineStr">
        <is>
          <t>Ask for the owner or GM. Call 2-4pm, between lunch and dinner.</t>
        </is>
      </c>
      <c r="O174" s="5" t="inlineStr">
        <is>
          <t>city-data.com</t>
        </is>
      </c>
    </row>
    <row r="175">
      <c r="A175" s="5" t="n">
        <v>174</v>
      </c>
      <c r="B175" s="10" t="inlineStr">
        <is>
          <t>B</t>
        </is>
      </c>
      <c r="C175" s="5" t="inlineStr">
        <is>
          <t>Steak it Easy</t>
        </is>
      </c>
      <c r="D175" s="5" t="inlineStr">
        <is>
          <t>Restaurant</t>
        </is>
      </c>
      <c r="E175" s="7" t="inlineStr">
        <is>
          <t>(215) 239-2222</t>
        </is>
      </c>
      <c r="F175" s="5" t="inlineStr">
        <is>
          <t>2259 Hamilton Ave</t>
        </is>
      </c>
      <c r="G175" s="5" t="inlineStr">
        <is>
          <t>Willow Grove</t>
        </is>
      </c>
      <c r="H175" s="5" t="inlineStr">
        <is>
          <t>Montgomery</t>
        </is>
      </c>
      <c r="I175" s="8" t="inlineStr">
        <is>
          <t>Not called</t>
        </is>
      </c>
      <c r="J175" s="9" t="n"/>
      <c r="K175" s="8" t="n"/>
      <c r="L175" s="9" t="n"/>
      <c r="M175" s="8" t="n"/>
      <c r="N175" s="5" t="inlineStr">
        <is>
          <t>Ask for the owner or GM. Call 2-4pm, between lunch and dinner.</t>
        </is>
      </c>
      <c r="O175" s="5" t="inlineStr">
        <is>
          <t>getsauce.com</t>
        </is>
      </c>
    </row>
    <row r="176">
      <c r="A176" s="5" t="n">
        <v>175</v>
      </c>
      <c r="B176" s="6" t="inlineStr">
        <is>
          <t>A</t>
        </is>
      </c>
      <c r="C176" s="5" t="inlineStr">
        <is>
          <t>Iron Hill Brewery &amp; Restaurant (Chestnut Hill)</t>
        </is>
      </c>
      <c r="D176" s="5" t="inlineStr">
        <is>
          <t>Brewery/restaurant</t>
        </is>
      </c>
      <c r="E176" s="7" t="inlineStr">
        <is>
          <t>(215) 948-5600</t>
        </is>
      </c>
      <c r="F176" s="5" t="inlineStr">
        <is>
          <t>8400 Germantown Ave</t>
        </is>
      </c>
      <c r="G176" s="5" t="inlineStr">
        <is>
          <t>Chestnut Hill (Philadelphia)</t>
        </is>
      </c>
      <c r="H176" s="5" t="inlineStr">
        <is>
          <t>Philadelphia</t>
        </is>
      </c>
      <c r="I176" s="8" t="inlineStr">
        <is>
          <t>Not called</t>
        </is>
      </c>
      <c r="J176" s="9" t="n"/>
      <c r="K176" s="8" t="n"/>
      <c r="L176" s="9" t="n"/>
      <c r="M176" s="8" t="n"/>
      <c r="N176" s="5" t="inlineStr">
        <is>
          <t>Ask for the owner or GM. Call 2-4pm, between lunch and dinner.</t>
        </is>
      </c>
      <c r="O176" s="5" t="inlineStr">
        <is>
          <t>visitphilly.com (regional chain)</t>
        </is>
      </c>
    </row>
    <row r="177">
      <c r="A177" s="5" t="n">
        <v>176</v>
      </c>
      <c r="B177" s="10" t="inlineStr">
        <is>
          <t>B</t>
        </is>
      </c>
      <c r="C177" s="5" t="inlineStr">
        <is>
          <t>Barry's Buns</t>
        </is>
      </c>
      <c r="D177" s="5" t="inlineStr">
        <is>
          <t>Bakery</t>
        </is>
      </c>
      <c r="E177" s="7" t="inlineStr">
        <is>
          <t>(267) 521-2867</t>
        </is>
      </c>
      <c r="F177" s="5" t="inlineStr">
        <is>
          <t>8221 Germantown Ave</t>
        </is>
      </c>
      <c r="G177" s="5" t="inlineStr">
        <is>
          <t>Chestnut Hill (Philadelphia)</t>
        </is>
      </c>
      <c r="H177" s="5" t="inlineStr">
        <is>
          <t>Philadelphia</t>
        </is>
      </c>
      <c r="I177" s="8" t="inlineStr">
        <is>
          <t>Not called</t>
        </is>
      </c>
      <c r="J177" s="9" t="n"/>
      <c r="K177" s="8" t="n"/>
      <c r="L177" s="9" t="n"/>
      <c r="M177" s="8" t="n"/>
      <c r="N177" s="5" t="inlineStr">
        <is>
          <t>Ask for the owner or GM. Call 2-4pm, between lunch and dinner.</t>
        </is>
      </c>
      <c r="O177" s="5" t="inlineStr">
        <is>
          <t>visitphilly.com</t>
        </is>
      </c>
    </row>
    <row r="178">
      <c r="A178" s="5" t="n">
        <v>177</v>
      </c>
      <c r="B178" s="10" t="inlineStr">
        <is>
          <t>B</t>
        </is>
      </c>
      <c r="C178" s="5" t="inlineStr">
        <is>
          <t>Bredenbeck's Bakery &amp; Ice Cream Parlor</t>
        </is>
      </c>
      <c r="D178" s="5" t="inlineStr">
        <is>
          <t>Bakery</t>
        </is>
      </c>
      <c r="E178" s="7" t="inlineStr">
        <is>
          <t>(215) 247-7374</t>
        </is>
      </c>
      <c r="F178" s="5" t="inlineStr">
        <is>
          <t>8126 Germantown Ave</t>
        </is>
      </c>
      <c r="G178" s="5" t="inlineStr">
        <is>
          <t>Chestnut Hill (Philadelphia)</t>
        </is>
      </c>
      <c r="H178" s="5" t="inlineStr">
        <is>
          <t>Philadelphia</t>
        </is>
      </c>
      <c r="I178" s="8" t="inlineStr">
        <is>
          <t>Not called</t>
        </is>
      </c>
      <c r="J178" s="9" t="n"/>
      <c r="K178" s="8" t="n"/>
      <c r="L178" s="9" t="n"/>
      <c r="M178" s="8" t="n"/>
      <c r="N178" s="5" t="inlineStr">
        <is>
          <t>Ask for the owner or GM. Call 2-4pm, between lunch and dinner.</t>
        </is>
      </c>
      <c r="O178" s="5" t="inlineStr">
        <is>
          <t>visitphilly.com</t>
        </is>
      </c>
    </row>
    <row r="179">
      <c r="A179" s="5" t="n">
        <v>178</v>
      </c>
      <c r="B179" s="10" t="inlineStr">
        <is>
          <t>B</t>
        </is>
      </c>
      <c r="C179" s="5" t="inlineStr">
        <is>
          <t>Cake Restaurant</t>
        </is>
      </c>
      <c r="D179" s="5" t="inlineStr">
        <is>
          <t>Restaurant</t>
        </is>
      </c>
      <c r="E179" s="7" t="inlineStr">
        <is>
          <t>(215) 247-6887</t>
        </is>
      </c>
      <c r="F179" s="5" t="inlineStr">
        <is>
          <t>8501 Germantown Ave</t>
        </is>
      </c>
      <c r="G179" s="5" t="inlineStr">
        <is>
          <t>Chestnut Hill (Philadelphia)</t>
        </is>
      </c>
      <c r="H179" s="5" t="inlineStr">
        <is>
          <t>Philadelphia</t>
        </is>
      </c>
      <c r="I179" s="8" t="inlineStr">
        <is>
          <t>Not called</t>
        </is>
      </c>
      <c r="J179" s="9" t="n"/>
      <c r="K179" s="8" t="n"/>
      <c r="L179" s="9" t="n"/>
      <c r="M179" s="8" t="n"/>
      <c r="N179" s="5" t="inlineStr">
        <is>
          <t>Ask for the owner or GM. Call 2-4pm, between lunch and dinner.</t>
        </is>
      </c>
      <c r="O179" s="5" t="inlineStr">
        <is>
          <t>visitphilly.com</t>
        </is>
      </c>
    </row>
    <row r="180">
      <c r="A180" s="5" t="n">
        <v>179</v>
      </c>
      <c r="B180" s="10" t="inlineStr">
        <is>
          <t>B</t>
        </is>
      </c>
      <c r="C180" s="5" t="inlineStr">
        <is>
          <t>Chestnut Hill Business District</t>
        </is>
      </c>
      <c r="D180" s="5" t="inlineStr">
        <is>
          <t>Business district association</t>
        </is>
      </c>
      <c r="E180" s="7" t="inlineStr">
        <is>
          <t>(215) 247-6696</t>
        </is>
      </c>
      <c r="F180" s="5" t="inlineStr">
        <is>
          <t>8426 Germantown Ave</t>
        </is>
      </c>
      <c r="G180" s="5" t="inlineStr">
        <is>
          <t>Chestnut Hill (Philadelphia)</t>
        </is>
      </c>
      <c r="H180" s="5" t="inlineStr">
        <is>
          <t>Philadelphia</t>
        </is>
      </c>
      <c r="I180" s="8" t="inlineStr">
        <is>
          <t>Not called</t>
        </is>
      </c>
      <c r="J180" s="9" t="n"/>
      <c r="K180" s="8" t="n"/>
      <c r="L180" s="9" t="n"/>
      <c r="M180" s="8" t="n"/>
      <c r="N180" s="5" t="inlineStr">
        <is>
          <t>Ask who plans holiday streetscape lighting and when the budget is set.</t>
        </is>
      </c>
      <c r="O180" s="5" t="inlineStr">
        <is>
          <t>visitpa.com</t>
        </is>
      </c>
    </row>
    <row r="181">
      <c r="A181" s="5" t="n">
        <v>180</v>
      </c>
      <c r="B181" s="10" t="inlineStr">
        <is>
          <t>B</t>
        </is>
      </c>
      <c r="C181" s="5" t="inlineStr">
        <is>
          <t>Chestnut Hill Cheese Shop</t>
        </is>
      </c>
      <c r="D181" s="5" t="inlineStr">
        <is>
          <t>Retail - specialty food</t>
        </is>
      </c>
      <c r="E181" s="7" t="inlineStr">
        <is>
          <t>(215) 242-2211</t>
        </is>
      </c>
      <c r="F181" s="5" t="inlineStr">
        <is>
          <t>8509 Germantown Ave</t>
        </is>
      </c>
      <c r="G181" s="5" t="inlineStr">
        <is>
          <t>Chestnut Hill (Philadelphia)</t>
        </is>
      </c>
      <c r="H181" s="5" t="inlineStr">
        <is>
          <t>Philadelphia</t>
        </is>
      </c>
      <c r="I181" s="8" t="inlineStr">
        <is>
          <t>Not called</t>
        </is>
      </c>
      <c r="J181" s="9" t="n"/>
      <c r="K181" s="8" t="n"/>
      <c r="L181" s="9" t="n"/>
      <c r="M181" s="8" t="n"/>
      <c r="N181" s="5" t="inlineStr">
        <is>
          <t>Ask for the owner.</t>
        </is>
      </c>
      <c r="O181" s="5" t="inlineStr">
        <is>
          <t>visitphilly.com</t>
        </is>
      </c>
    </row>
    <row r="182">
      <c r="A182" s="5" t="n">
        <v>181</v>
      </c>
      <c r="B182" s="10" t="inlineStr">
        <is>
          <t>B</t>
        </is>
      </c>
      <c r="C182" s="5" t="inlineStr">
        <is>
          <t>Chestnut Hill Coffee Company</t>
        </is>
      </c>
      <c r="D182" s="5" t="inlineStr">
        <is>
          <t>Cafe</t>
        </is>
      </c>
      <c r="E182" s="7" t="inlineStr">
        <is>
          <t>(215) 242-8600</t>
        </is>
      </c>
      <c r="F182" s="5" t="inlineStr">
        <is>
          <t>8620 Germantown Ave</t>
        </is>
      </c>
      <c r="G182" s="5" t="inlineStr">
        <is>
          <t>Chestnut Hill (Philadelphia)</t>
        </is>
      </c>
      <c r="H182" s="5" t="inlineStr">
        <is>
          <t>Philadelphia</t>
        </is>
      </c>
      <c r="I182" s="8" t="inlineStr">
        <is>
          <t>Not called</t>
        </is>
      </c>
      <c r="J182" s="9" t="n"/>
      <c r="K182" s="8" t="n"/>
      <c r="L182" s="9" t="n"/>
      <c r="M182" s="8" t="n"/>
      <c r="N182" s="5" t="inlineStr">
        <is>
          <t>Ask for the owner or GM. Call 2-4pm, between lunch and dinner.</t>
        </is>
      </c>
      <c r="O182" s="5" t="inlineStr">
        <is>
          <t>visitphilly.com</t>
        </is>
      </c>
    </row>
  </sheetData>
  <autoFilter ref="A1:O182"/>
  <dataValidations count="2">
    <dataValidation sqref="I2:I482" showDropDown="0" showInputMessage="0" showErrorMessage="0" allowBlank="1" error="Pick a status from the list" type="list">
      <formula1>"Not called,No answer,Left voicemail,Call back,Interested - visit/quote,Quote sent,Booked,Not interested,Wrong number / closed"</formula1>
    </dataValidation>
    <dataValidation sqref="J2:J482 L2:L482" showDropDown="0" showInputMessage="0" showErrorMessage="0" allowBlank="1" type="date" operator="greaterThan">
      <formula1>45658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28" customWidth="1" min="3" max="3"/>
    <col width="30" customWidth="1" min="4" max="4"/>
    <col width="24" customWidth="1" min="5" max="5"/>
    <col width="14" customWidth="1" min="6" max="6"/>
    <col width="60" customWidth="1" min="7" max="7"/>
    <col width="18" customWidth="1" min="8" max="8"/>
  </cols>
  <sheetData>
    <row r="1">
      <c r="A1" s="12" t="inlineStr">
        <is>
          <t>#</t>
        </is>
      </c>
      <c r="B1" s="12" t="inlineStr">
        <is>
          <t>Business</t>
        </is>
      </c>
      <c r="C1" s="12" t="inlineStr">
        <is>
          <t>Category</t>
        </is>
      </c>
      <c r="D1" s="12" t="inlineStr">
        <is>
          <t>Address</t>
        </is>
      </c>
      <c r="E1" s="12" t="inlineStr">
        <is>
          <t>Town</t>
        </is>
      </c>
      <c r="F1" s="12" t="inlineStr">
        <is>
          <t>County</t>
        </is>
      </c>
      <c r="G1" s="12" t="inlineStr">
        <is>
          <t>Why it is worth a lookup</t>
        </is>
      </c>
      <c r="H1" s="12" t="inlineStr">
        <is>
          <t>Phone (fill in)</t>
        </is>
      </c>
    </row>
    <row r="2">
      <c r="A2" s="5" t="n">
        <v>1</v>
      </c>
      <c r="B2" s="5" t="inlineStr">
        <is>
          <t>Bristol Antique Mart</t>
        </is>
      </c>
      <c r="C2" s="5" t="inlineStr">
        <is>
          <t>Retail - antiques</t>
        </is>
      </c>
      <c r="D2" s="5" t="inlineStr">
        <is>
          <t>Mill St</t>
        </is>
      </c>
      <c r="E2" s="5" t="inlineStr">
        <is>
          <t>Bristol</t>
        </is>
      </c>
      <c r="F2" s="5" t="inlineStr">
        <is>
          <t>Bucks</t>
        </is>
      </c>
      <c r="G2" s="5" t="inlineStr">
        <is>
          <t>Downtown Bristol</t>
        </is>
      </c>
      <c r="H2" s="8" t="n"/>
    </row>
    <row r="3">
      <c r="A3" s="5" t="n">
        <v>2</v>
      </c>
      <c r="B3" s="5" t="inlineStr">
        <is>
          <t>ITRI Wood Fired</t>
        </is>
      </c>
      <c r="C3" s="5" t="inlineStr">
        <is>
          <t>Restaurant/bar</t>
        </is>
      </c>
      <c r="D3" s="5" t="inlineStr">
        <is>
          <t>Mill St</t>
        </is>
      </c>
      <c r="E3" s="5" t="inlineStr">
        <is>
          <t>Bristol</t>
        </is>
      </c>
      <c r="F3" s="5" t="inlineStr">
        <is>
          <t>Bucks</t>
        </is>
      </c>
      <c r="G3" s="5" t="inlineStr">
        <is>
          <t>Downtown Bristol</t>
        </is>
      </c>
      <c r="H3" s="8" t="n"/>
    </row>
    <row r="4">
      <c r="A4" s="5" t="n">
        <v>3</v>
      </c>
      <c r="B4" s="5" t="inlineStr">
        <is>
          <t>1720 Bar &amp; Restaurant</t>
        </is>
      </c>
      <c r="C4" s="5" t="inlineStr">
        <is>
          <t>Restaurant/bar</t>
        </is>
      </c>
      <c r="D4" s="5" t="inlineStr">
        <is>
          <t>136 E Butler Ave</t>
        </is>
      </c>
      <c r="E4" s="5" t="inlineStr">
        <is>
          <t>Chalfont</t>
        </is>
      </c>
      <c r="F4" s="5" t="inlineStr">
        <is>
          <t>Bucks</t>
        </is>
      </c>
      <c r="G4" s="5" t="inlineStr">
        <is>
          <t>Bar, owner decides</t>
        </is>
      </c>
      <c r="H4" s="8" t="n"/>
    </row>
    <row r="5">
      <c r="A5" s="5" t="n">
        <v>4</v>
      </c>
      <c r="B5" s="5" t="inlineStr">
        <is>
          <t>Embers Smokehouse and Tap</t>
        </is>
      </c>
      <c r="C5" s="5" t="inlineStr">
        <is>
          <t>Restaurant/bar</t>
        </is>
      </c>
      <c r="D5" s="5" t="inlineStr">
        <is>
          <t>237 W Butler Ave</t>
        </is>
      </c>
      <c r="E5" s="5" t="inlineStr">
        <is>
          <t>Chalfont</t>
        </is>
      </c>
      <c r="F5" s="5" t="inlineStr">
        <is>
          <t>Bucks</t>
        </is>
      </c>
      <c r="G5" s="5" t="inlineStr">
        <is>
          <t>Bar, owner decides</t>
        </is>
      </c>
      <c r="H5" s="8" t="n"/>
    </row>
    <row r="6">
      <c r="A6" s="5" t="n">
        <v>5</v>
      </c>
      <c r="B6" s="5" t="inlineStr">
        <is>
          <t>Skyline Tavern &amp; Restaurant</t>
        </is>
      </c>
      <c r="C6" s="5" t="inlineStr">
        <is>
          <t>Restaurant/bar</t>
        </is>
      </c>
      <c r="D6" s="5" t="inlineStr">
        <is>
          <t>241 W Butler Ave</t>
        </is>
      </c>
      <c r="E6" s="5" t="inlineStr">
        <is>
          <t>Chalfont</t>
        </is>
      </c>
      <c r="F6" s="5" t="inlineStr">
        <is>
          <t>Bucks</t>
        </is>
      </c>
      <c r="G6" s="5" t="inlineStr">
        <is>
          <t>40-year local tavern</t>
        </is>
      </c>
      <c r="H6" s="8" t="n"/>
    </row>
    <row r="7">
      <c r="A7" s="5" t="n">
        <v>6</v>
      </c>
      <c r="B7" s="5" t="inlineStr">
        <is>
          <t>The Talking Teacup</t>
        </is>
      </c>
      <c r="C7" s="5" t="inlineStr">
        <is>
          <t>Restaurant/tea room</t>
        </is>
      </c>
      <c r="D7" s="5" t="inlineStr">
        <is>
          <t>301 W Butler Ave</t>
        </is>
      </c>
      <c r="E7" s="5" t="inlineStr">
        <is>
          <t>Chalfont</t>
        </is>
      </c>
      <c r="F7" s="5" t="inlineStr">
        <is>
          <t>Bucks</t>
        </is>
      </c>
      <c r="G7" s="5" t="inlineStr">
        <is>
          <t>Holiday teas</t>
        </is>
      </c>
      <c r="H7" s="8" t="n"/>
    </row>
    <row r="8">
      <c r="A8" s="5" t="n">
        <v>7</v>
      </c>
      <c r="B8" s="5" t="inlineStr">
        <is>
          <t>Busy Bee Toys</t>
        </is>
      </c>
      <c r="C8" s="5" t="inlineStr">
        <is>
          <t>Retail - toys</t>
        </is>
      </c>
      <c r="D8" s="5" t="inlineStr">
        <is>
          <t>58 E State St</t>
        </is>
      </c>
      <c r="E8" s="5" t="inlineStr">
        <is>
          <t>Doylestown</t>
        </is>
      </c>
      <c r="F8" s="5" t="inlineStr">
        <is>
          <t>Bucks</t>
        </is>
      </c>
      <c r="G8" s="5" t="inlineStr">
        <is>
          <t>Holiday-season retailer</t>
        </is>
      </c>
      <c r="H8" s="8" t="n"/>
    </row>
    <row r="9">
      <c r="A9" s="5" t="n">
        <v>8</v>
      </c>
      <c r="B9" s="5" t="inlineStr">
        <is>
          <t>Cross Culture</t>
        </is>
      </c>
      <c r="C9" s="5" t="inlineStr">
        <is>
          <t>Restaurant</t>
        </is>
      </c>
      <c r="D9" s="5" t="inlineStr">
        <is>
          <t>62-64 W State St</t>
        </is>
      </c>
      <c r="E9" s="5" t="inlineStr">
        <is>
          <t>Doylestown</t>
        </is>
      </c>
      <c r="F9" s="5" t="inlineStr">
        <is>
          <t>Bucks</t>
        </is>
      </c>
      <c r="G9" s="5" t="inlineStr">
        <is>
          <t>Downtown Doylestown</t>
        </is>
      </c>
      <c r="H9" s="8" t="n"/>
    </row>
    <row r="10">
      <c r="A10" s="5" t="n">
        <v>9</v>
      </c>
      <c r="B10" s="5" t="inlineStr">
        <is>
          <t>Doyle's Down the Alley</t>
        </is>
      </c>
      <c r="C10" s="5" t="inlineStr">
        <is>
          <t>Bar</t>
        </is>
      </c>
      <c r="D10" s="5" t="inlineStr">
        <is>
          <t>52 E State St</t>
        </is>
      </c>
      <c r="E10" s="5" t="inlineStr">
        <is>
          <t>Doylestown</t>
        </is>
      </c>
      <c r="F10" s="5" t="inlineStr">
        <is>
          <t>Bucks</t>
        </is>
      </c>
      <c r="G10" s="5" t="inlineStr">
        <is>
          <t>Downtown Doylestown</t>
        </is>
      </c>
      <c r="H10" s="8" t="n"/>
    </row>
    <row r="11">
      <c r="A11" s="5" t="n">
        <v>10</v>
      </c>
      <c r="B11" s="5" t="inlineStr">
        <is>
          <t>Doylestown Business and Community Alliance</t>
        </is>
      </c>
      <c r="C11" s="5" t="inlineStr">
        <is>
          <t>Business district association</t>
        </is>
      </c>
      <c r="D11" s="5" t="inlineStr">
        <is>
          <t>17 W State St</t>
        </is>
      </c>
      <c r="E11" s="5" t="inlineStr">
        <is>
          <t>Doylestown</t>
        </is>
      </c>
      <c r="F11" s="5" t="inlineStr">
        <is>
          <t>Bucks</t>
        </is>
      </c>
      <c r="G11" s="5" t="inlineStr">
        <is>
          <t>Runs downtown events; could hire for streetscape lighting</t>
        </is>
      </c>
      <c r="H11" s="8" t="n"/>
    </row>
    <row r="12">
      <c r="A12" s="5" t="n">
        <v>11</v>
      </c>
      <c r="B12" s="5" t="inlineStr">
        <is>
          <t>Faulkner Honda of Doylestown</t>
        </is>
      </c>
      <c r="C12" s="5" t="inlineStr">
        <is>
          <t>Car dealership</t>
        </is>
      </c>
      <c r="D12" s="5" t="inlineStr">
        <is>
          <t>4311 W Swamp Rd</t>
        </is>
      </c>
      <c r="E12" s="5" t="inlineStr">
        <is>
          <t>Doylestown</t>
        </is>
      </c>
      <c r="F12" s="5" t="inlineStr">
        <is>
          <t>Bucks</t>
        </is>
      </c>
      <c r="G12" s="5" t="inlineStr">
        <is>
          <t>Big lot on a busy road</t>
        </is>
      </c>
      <c r="H12" s="8" t="n"/>
    </row>
    <row r="13">
      <c r="A13" s="5" t="n">
        <v>12</v>
      </c>
      <c r="B13" s="5" t="inlineStr">
        <is>
          <t>Fred Beans Chevrolet</t>
        </is>
      </c>
      <c r="C13" s="5" t="inlineStr">
        <is>
          <t>Car dealership</t>
        </is>
      </c>
      <c r="D13" s="5" t="inlineStr">
        <is>
          <t>845 N Easton Rd</t>
        </is>
      </c>
      <c r="E13" s="5" t="inlineStr">
        <is>
          <t>Doylestown</t>
        </is>
      </c>
      <c r="F13" s="5" t="inlineStr">
        <is>
          <t>Bucks</t>
        </is>
      </c>
      <c r="G13" s="5" t="inlineStr">
        <is>
          <t>Fred Beans group</t>
        </is>
      </c>
      <c r="H13" s="8" t="n"/>
    </row>
    <row r="14">
      <c r="A14" s="5" t="n">
        <v>13</v>
      </c>
      <c r="B14" s="5" t="inlineStr">
        <is>
          <t>Fred Beans Family of Dealerships HQ</t>
        </is>
      </c>
      <c r="C14" s="5" t="inlineStr">
        <is>
          <t>Car dealership group</t>
        </is>
      </c>
      <c r="D14" s="5" t="inlineStr">
        <is>
          <t>3960 Airport Blvd</t>
        </is>
      </c>
      <c r="E14" s="5" t="inlineStr">
        <is>
          <t>Doylestown</t>
        </is>
      </c>
      <c r="F14" s="5" t="inlineStr">
        <is>
          <t>Bucks</t>
        </is>
      </c>
      <c r="G14" s="5" t="inlineStr">
        <is>
          <t>One decision maker for 20+ local stores; ask for marketing/facilities</t>
        </is>
      </c>
      <c r="H14" s="8" t="n"/>
    </row>
    <row r="15">
      <c r="A15" s="5" t="n">
        <v>14</v>
      </c>
      <c r="B15" s="5" t="inlineStr">
        <is>
          <t>Fred Beans Nissan of Doylestown</t>
        </is>
      </c>
      <c r="C15" s="5" t="inlineStr">
        <is>
          <t>Car dealership</t>
        </is>
      </c>
      <c r="D15" s="5" t="inlineStr">
        <is>
          <t>4469 W Swamp Rd</t>
        </is>
      </c>
      <c r="E15" s="5" t="inlineStr">
        <is>
          <t>Doylestown</t>
        </is>
      </c>
      <c r="F15" s="5" t="inlineStr">
        <is>
          <t>Bucks</t>
        </is>
      </c>
      <c r="G15" s="5" t="inlineStr">
        <is>
          <t>Fred Beans group</t>
        </is>
      </c>
      <c r="H15" s="8" t="n"/>
    </row>
    <row r="16">
      <c r="A16" s="5" t="n">
        <v>15</v>
      </c>
      <c r="B16" s="5" t="inlineStr">
        <is>
          <t>Genevieve's Kitchen</t>
        </is>
      </c>
      <c r="C16" s="5" t="inlineStr">
        <is>
          <t>Restaurant/cafe</t>
        </is>
      </c>
      <c r="D16" s="5" t="inlineStr">
        <is>
          <t>19 E State St</t>
        </is>
      </c>
      <c r="E16" s="5" t="inlineStr">
        <is>
          <t>Doylestown</t>
        </is>
      </c>
      <c r="F16" s="5" t="inlineStr">
        <is>
          <t>Bucks</t>
        </is>
      </c>
      <c r="G16" s="5" t="inlineStr">
        <is>
          <t>Downtown Doylestown</t>
        </is>
      </c>
      <c r="H16" s="8" t="n"/>
    </row>
    <row r="17">
      <c r="A17" s="5" t="n">
        <v>16</v>
      </c>
      <c r="B17" s="5" t="inlineStr">
        <is>
          <t>Heirloom Doylestown</t>
        </is>
      </c>
      <c r="C17" s="5" t="inlineStr">
        <is>
          <t>Restaurant</t>
        </is>
      </c>
      <c r="D17" s="5" t="inlineStr">
        <is>
          <t>54 E State St</t>
        </is>
      </c>
      <c r="E17" s="5" t="inlineStr">
        <is>
          <t>Doylestown</t>
        </is>
      </c>
      <c r="F17" s="5" t="inlineStr">
        <is>
          <t>Bucks</t>
        </is>
      </c>
      <c r="G17" s="5" t="inlineStr">
        <is>
          <t>Downtown Doylestown</t>
        </is>
      </c>
      <c r="H17" s="8" t="n"/>
    </row>
    <row r="18">
      <c r="A18" s="5" t="n">
        <v>17</v>
      </c>
      <c r="B18" s="5" t="inlineStr">
        <is>
          <t>Mercantile at Doylestown</t>
        </is>
      </c>
      <c r="C18" s="5" t="inlineStr">
        <is>
          <t>Retail - vendor market</t>
        </is>
      </c>
      <c r="D18" s="5" t="inlineStr">
        <is>
          <t>444 N Main St</t>
        </is>
      </c>
      <c r="E18" s="5" t="inlineStr">
        <is>
          <t>Doylestown</t>
        </is>
      </c>
      <c r="F18" s="5" t="inlineStr">
        <is>
          <t>Bucks</t>
        </is>
      </c>
      <c r="G18" s="5" t="inlineStr">
        <is>
          <t>25,000 sq ft storefront</t>
        </is>
      </c>
      <c r="H18" s="8" t="n"/>
    </row>
    <row r="19">
      <c r="A19" s="5" t="n">
        <v>18</v>
      </c>
      <c r="B19" s="5" t="inlineStr">
        <is>
          <t>Mercedes-Benz of Doylestown</t>
        </is>
      </c>
      <c r="C19" s="5" t="inlineStr">
        <is>
          <t>Car dealership</t>
        </is>
      </c>
      <c r="D19" s="5" t="inlineStr">
        <is>
          <t>3664 N Easton Rd</t>
        </is>
      </c>
      <c r="E19" s="5" t="inlineStr">
        <is>
          <t>Doylestown</t>
        </is>
      </c>
      <c r="F19" s="5" t="inlineStr">
        <is>
          <t>Bucks</t>
        </is>
      </c>
      <c r="G19" s="5" t="inlineStr">
        <is>
          <t>Premium brand, image-conscious</t>
        </is>
      </c>
      <c r="H19" s="8" t="n"/>
    </row>
    <row r="20">
      <c r="A20" s="5" t="n">
        <v>19</v>
      </c>
      <c r="B20" s="5" t="inlineStr">
        <is>
          <t>Penn Taproom</t>
        </is>
      </c>
      <c r="C20" s="5" t="inlineStr">
        <is>
          <t>Bar</t>
        </is>
      </c>
      <c r="D20" s="5" t="inlineStr">
        <is>
          <t>80 W State St</t>
        </is>
      </c>
      <c r="E20" s="5" t="inlineStr">
        <is>
          <t>Doylestown</t>
        </is>
      </c>
      <c r="F20" s="5" t="inlineStr">
        <is>
          <t>Bucks</t>
        </is>
      </c>
      <c r="G20" s="5" t="inlineStr">
        <is>
          <t>Downtown Doylestown</t>
        </is>
      </c>
      <c r="H20" s="8" t="n"/>
    </row>
    <row r="21">
      <c r="A21" s="5" t="n">
        <v>20</v>
      </c>
      <c r="B21" s="5" t="inlineStr">
        <is>
          <t>The Inn at Fox Briar Farm</t>
        </is>
      </c>
      <c r="C21" s="5" t="inlineStr">
        <is>
          <t>Event venue</t>
        </is>
      </c>
      <c r="D21" s="5" t="inlineStr">
        <is>
          <t>Doylestown</t>
        </is>
      </c>
      <c r="E21" s="5" t="inlineStr">
        <is>
          <t>Doylestown</t>
        </is>
      </c>
      <c r="F21" s="5" t="inlineStr">
        <is>
          <t>Bucks</t>
        </is>
      </c>
      <c r="G21" s="5" t="inlineStr">
        <is>
          <t>Wedding venue, holiday events</t>
        </is>
      </c>
      <c r="H21" s="8" t="n"/>
    </row>
    <row r="22">
      <c r="A22" s="5" t="n">
        <v>21</v>
      </c>
      <c r="B22" s="5" t="inlineStr">
        <is>
          <t>Villages of Doylestown</t>
        </is>
      </c>
      <c r="C22" s="5" t="inlineStr">
        <is>
          <t>55+ community</t>
        </is>
      </c>
      <c r="D22" s="5" t="inlineStr">
        <is>
          <t>103 Progress Dr</t>
        </is>
      </c>
      <c r="E22" s="5" t="inlineStr">
        <is>
          <t>Doylestown</t>
        </is>
      </c>
      <c r="F22" s="5" t="inlineStr">
        <is>
          <t>Bucks</t>
        </is>
      </c>
      <c r="G22" s="5" t="inlineStr">
        <is>
          <t>HOA entrance and clubhouse</t>
        </is>
      </c>
      <c r="H22" s="8" t="n"/>
    </row>
    <row r="23">
      <c r="A23" s="5" t="n">
        <v>22</v>
      </c>
      <c r="B23" s="5" t="inlineStr">
        <is>
          <t>Fairless Hills Towne Center (Larken Associates)</t>
        </is>
      </c>
      <c r="C23" s="5" t="inlineStr">
        <is>
          <t>Shopping center</t>
        </is>
      </c>
      <c r="D23" s="5" t="inlineStr">
        <is>
          <t>Rt 1 &amp; I-295</t>
        </is>
      </c>
      <c r="E23" s="5" t="inlineStr">
        <is>
          <t>Fairless Hills</t>
        </is>
      </c>
      <c r="F23" s="5" t="inlineStr">
        <is>
          <t>Bucks</t>
        </is>
      </c>
      <c r="G23" s="5" t="inlineStr">
        <is>
          <t>300,000 sq ft center</t>
        </is>
      </c>
      <c r="H23" s="8" t="n"/>
    </row>
    <row r="24">
      <c r="A24" s="5" t="n">
        <v>23</v>
      </c>
      <c r="B24" s="5" t="inlineStr">
        <is>
          <t>The Inn at Barley Sheaf Farm</t>
        </is>
      </c>
      <c r="C24" s="5" t="inlineStr">
        <is>
          <t>Hotel/event venue</t>
        </is>
      </c>
      <c r="D24" s="5" t="inlineStr">
        <is>
          <t>5281 York Rd</t>
        </is>
      </c>
      <c r="E24" s="5" t="inlineStr">
        <is>
          <t>Holicong</t>
        </is>
      </c>
      <c r="F24" s="5" t="inlineStr">
        <is>
          <t>Bucks</t>
        </is>
      </c>
      <c r="G24" s="5" t="inlineStr">
        <is>
          <t>Weddings and holiday events</t>
        </is>
      </c>
      <c r="H24" s="8" t="n"/>
    </row>
    <row r="25">
      <c r="A25" s="5" t="n">
        <v>24</v>
      </c>
      <c r="B25" s="5" t="inlineStr">
        <is>
          <t>Oxford Crossings</t>
        </is>
      </c>
      <c r="C25" s="5" t="inlineStr">
        <is>
          <t>Senior living</t>
        </is>
      </c>
      <c r="D25" s="5" t="inlineStr">
        <is>
          <t>310 E Winchester Ave</t>
        </is>
      </c>
      <c r="E25" s="5" t="inlineStr">
        <is>
          <t>Langhorne</t>
        </is>
      </c>
      <c r="F25" s="5" t="inlineStr">
        <is>
          <t>Bucks</t>
        </is>
      </c>
      <c r="G25" s="5" t="inlineStr">
        <is>
          <t>Senior living campus</t>
        </is>
      </c>
      <c r="H25" s="8" t="n"/>
    </row>
    <row r="26">
      <c r="A26" s="5" t="n">
        <v>25</v>
      </c>
      <c r="B26" s="5" t="inlineStr">
        <is>
          <t>Farley's Bookshop</t>
        </is>
      </c>
      <c r="C26" s="5" t="inlineStr">
        <is>
          <t>Retail - books</t>
        </is>
      </c>
      <c r="D26" s="5" t="inlineStr">
        <is>
          <t>Main St</t>
        </is>
      </c>
      <c r="E26" s="5" t="inlineStr">
        <is>
          <t>New Hope</t>
        </is>
      </c>
      <c r="F26" s="5" t="inlineStr">
        <is>
          <t>Bucks</t>
        </is>
      </c>
      <c r="G26" s="5" t="inlineStr">
        <is>
          <t>New Hope institution</t>
        </is>
      </c>
      <c r="H26" s="8" t="n"/>
    </row>
    <row r="27">
      <c r="A27" s="5" t="n">
        <v>26</v>
      </c>
      <c r="B27" s="5" t="inlineStr">
        <is>
          <t>Heart of the Home</t>
        </is>
      </c>
      <c r="C27" s="5" t="inlineStr">
        <is>
          <t>Retail - crafts/jewelry</t>
        </is>
      </c>
      <c r="D27" s="5" t="inlineStr">
        <is>
          <t>Main St</t>
        </is>
      </c>
      <c r="E27" s="5" t="inlineStr">
        <is>
          <t>New Hope</t>
        </is>
      </c>
      <c r="F27" s="5" t="inlineStr">
        <is>
          <t>Bucks</t>
        </is>
      </c>
      <c r="G27" s="5" t="inlineStr">
        <is>
          <t>Main St storefront</t>
        </is>
      </c>
      <c r="H27" s="8" t="n"/>
    </row>
    <row r="28">
      <c r="A28" s="5" t="n">
        <v>27</v>
      </c>
      <c r="B28" s="5" t="inlineStr">
        <is>
          <t>Main Street Wine Cellar</t>
        </is>
      </c>
      <c r="C28" s="5" t="inlineStr">
        <is>
          <t>Retail - wine</t>
        </is>
      </c>
      <c r="D28" s="5" t="inlineStr">
        <is>
          <t>Main St</t>
        </is>
      </c>
      <c r="E28" s="5" t="inlineStr">
        <is>
          <t>New Hope</t>
        </is>
      </c>
      <c r="F28" s="5" t="inlineStr">
        <is>
          <t>Bucks</t>
        </is>
      </c>
      <c r="G28" s="5" t="inlineStr">
        <is>
          <t>Main St storefront</t>
        </is>
      </c>
      <c r="H28" s="8" t="n"/>
    </row>
    <row r="29">
      <c r="A29" s="5" t="n">
        <v>28</v>
      </c>
      <c r="B29" s="5" t="inlineStr">
        <is>
          <t>The Cat Walk of New Hope</t>
        </is>
      </c>
      <c r="C29" s="5" t="inlineStr">
        <is>
          <t>Retail - gifts</t>
        </is>
      </c>
      <c r="D29" s="5" t="inlineStr">
        <is>
          <t>Main St</t>
        </is>
      </c>
      <c r="E29" s="5" t="inlineStr">
        <is>
          <t>New Hope</t>
        </is>
      </c>
      <c r="F29" s="5" t="inlineStr">
        <is>
          <t>Bucks</t>
        </is>
      </c>
      <c r="G29" s="5" t="inlineStr">
        <is>
          <t>Sells holiday decor</t>
        </is>
      </c>
      <c r="H29" s="8" t="n"/>
    </row>
    <row r="30">
      <c r="A30" s="5" t="n">
        <v>29</v>
      </c>
      <c r="B30" s="5" t="inlineStr">
        <is>
          <t>Golden Plough Inn (Peddler's Village)</t>
        </is>
      </c>
      <c r="C30" s="5" t="inlineStr">
        <is>
          <t>Hotel</t>
        </is>
      </c>
      <c r="D30" s="5" t="inlineStr">
        <is>
          <t>5886 Lower York Rd</t>
        </is>
      </c>
      <c r="E30" s="5" t="inlineStr">
        <is>
          <t>New Hope/Lahaska</t>
        </is>
      </c>
      <c r="F30" s="5" t="inlineStr">
        <is>
          <t>Bucks</t>
        </is>
      </c>
      <c r="G30" s="5" t="inlineStr">
        <is>
          <t>Note: Peddler's Village does its own big light show</t>
        </is>
      </c>
      <c r="H30" s="8" t="n"/>
    </row>
    <row r="31">
      <c r="A31" s="5" t="n">
        <v>30</v>
      </c>
      <c r="B31" s="5" t="inlineStr">
        <is>
          <t>Clubhouse Bar &amp; Grill</t>
        </is>
      </c>
      <c r="C31" s="5" t="inlineStr">
        <is>
          <t>Restaurant/bar</t>
        </is>
      </c>
      <c r="D31" s="5" t="inlineStr">
        <is>
          <t>501 S State St</t>
        </is>
      </c>
      <c r="E31" s="5" t="inlineStr">
        <is>
          <t>Newtown</t>
        </is>
      </c>
      <c r="F31" s="5" t="inlineStr">
        <is>
          <t>Bucks</t>
        </is>
      </c>
      <c r="G31" s="5" t="inlineStr">
        <is>
          <t>Bar, owner decides</t>
        </is>
      </c>
      <c r="H31" s="8" t="n"/>
    </row>
    <row r="32">
      <c r="A32" s="5" t="n">
        <v>31</v>
      </c>
      <c r="B32" s="5" t="inlineStr">
        <is>
          <t>Green Parrot</t>
        </is>
      </c>
      <c r="C32" s="5" t="inlineStr">
        <is>
          <t>Restaurant/bar</t>
        </is>
      </c>
      <c r="D32" s="5" t="inlineStr">
        <is>
          <t>240 N Sycamore St</t>
        </is>
      </c>
      <c r="E32" s="5" t="inlineStr">
        <is>
          <t>Newtown</t>
        </is>
      </c>
      <c r="F32" s="5" t="inlineStr">
        <is>
          <t>Bucks</t>
        </is>
      </c>
      <c r="G32" s="5" t="inlineStr">
        <is>
          <t>Bar, owner decides</t>
        </is>
      </c>
      <c r="H32" s="8" t="n"/>
    </row>
    <row r="33">
      <c r="A33" s="5" t="n">
        <v>32</v>
      </c>
      <c r="B33" s="5" t="inlineStr">
        <is>
          <t>The Temperance House</t>
        </is>
      </c>
      <c r="C33" s="5" t="inlineStr">
        <is>
          <t>Restaurant/bar</t>
        </is>
      </c>
      <c r="D33" s="5" t="inlineStr">
        <is>
          <t>5 S State St</t>
        </is>
      </c>
      <c r="E33" s="5" t="inlineStr">
        <is>
          <t>Newtown</t>
        </is>
      </c>
      <c r="F33" s="5" t="inlineStr">
        <is>
          <t>Bucks</t>
        </is>
      </c>
      <c r="G33" s="5" t="inlineStr">
        <is>
          <t>Historic inn on the main street</t>
        </is>
      </c>
      <c r="H33" s="8" t="n"/>
    </row>
    <row r="34">
      <c r="A34" s="5" t="n">
        <v>33</v>
      </c>
      <c r="B34" s="5" t="inlineStr">
        <is>
          <t>Triple Sun Spirits Newtown</t>
        </is>
      </c>
      <c r="C34" s="5" t="inlineStr">
        <is>
          <t>Bar/distillery</t>
        </is>
      </c>
      <c r="D34" s="5" t="inlineStr">
        <is>
          <t>126 S State St #200</t>
        </is>
      </c>
      <c r="E34" s="5" t="inlineStr">
        <is>
          <t>Newtown</t>
        </is>
      </c>
      <c r="F34" s="5" t="inlineStr">
        <is>
          <t>Bucks</t>
        </is>
      </c>
      <c r="G34" s="5" t="inlineStr">
        <is>
          <t>Main street location</t>
        </is>
      </c>
      <c r="H34" s="8" t="n"/>
    </row>
    <row r="35">
      <c r="A35" s="5" t="n">
        <v>34</v>
      </c>
      <c r="B35" s="5" t="inlineStr">
        <is>
          <t>Vecchia Osteria</t>
        </is>
      </c>
      <c r="C35" s="5" t="inlineStr">
        <is>
          <t>Restaurant</t>
        </is>
      </c>
      <c r="D35" s="5" t="inlineStr">
        <is>
          <t>20 Richboro Rd</t>
        </is>
      </c>
      <c r="E35" s="5" t="inlineStr">
        <is>
          <t>Newtown</t>
        </is>
      </c>
      <c r="F35" s="5" t="inlineStr">
        <is>
          <t>Bucks</t>
        </is>
      </c>
      <c r="G35" s="5" t="inlineStr">
        <is>
          <t>Independent restaurant</t>
        </is>
      </c>
      <c r="H35" s="8" t="n"/>
    </row>
    <row r="36">
      <c r="A36" s="5" t="n">
        <v>35</v>
      </c>
      <c r="B36" s="5" t="inlineStr">
        <is>
          <t>Pearl S. Buck Estate</t>
        </is>
      </c>
      <c r="C36" s="5" t="inlineStr">
        <is>
          <t>Historic site/event venue</t>
        </is>
      </c>
      <c r="D36" s="5" t="inlineStr">
        <is>
          <t>Perkasie</t>
        </is>
      </c>
      <c r="E36" s="5" t="inlineStr">
        <is>
          <t>Perkasie</t>
        </is>
      </c>
      <c r="F36" s="5" t="inlineStr">
        <is>
          <t>Bucks</t>
        </is>
      </c>
      <c r="G36" s="5" t="inlineStr">
        <is>
          <t>Holiday season events</t>
        </is>
      </c>
      <c r="H36" s="8" t="n"/>
    </row>
    <row r="37">
      <c r="A37" s="5" t="n">
        <v>36</v>
      </c>
      <c r="B37" s="5" t="inlineStr">
        <is>
          <t>Steam Pub</t>
        </is>
      </c>
      <c r="C37" s="5" t="inlineStr">
        <is>
          <t>Restaurant/bar</t>
        </is>
      </c>
      <c r="D37" s="5" t="inlineStr">
        <is>
          <t>606 2nd Street Pike</t>
        </is>
      </c>
      <c r="E37" s="5" t="inlineStr">
        <is>
          <t>Southampton</t>
        </is>
      </c>
      <c r="F37" s="5" t="inlineStr">
        <is>
          <t>Bucks</t>
        </is>
      </c>
      <c r="G37" s="5" t="inlineStr">
        <is>
          <t>Bar, owner decides</t>
        </is>
      </c>
      <c r="H37" s="8" t="n"/>
    </row>
    <row r="38">
      <c r="A38" s="5" t="n">
        <v>37</v>
      </c>
      <c r="B38" s="5" t="inlineStr">
        <is>
          <t>The Province of Southampton</t>
        </is>
      </c>
      <c r="C38" s="5" t="inlineStr">
        <is>
          <t>Senior living</t>
        </is>
      </c>
      <c r="D38" s="5" t="inlineStr">
        <is>
          <t>1160 Street Rd</t>
        </is>
      </c>
      <c r="E38" s="5" t="inlineStr">
        <is>
          <t>Southampton</t>
        </is>
      </c>
      <c r="F38" s="5" t="inlineStr">
        <is>
          <t>Bucks</t>
        </is>
      </c>
      <c r="G38" s="5" t="inlineStr">
        <is>
          <t>Senior living campus</t>
        </is>
      </c>
      <c r="H38" s="8" t="n"/>
    </row>
    <row r="39">
      <c r="A39" s="5" t="n">
        <v>38</v>
      </c>
      <c r="B39" s="5" t="inlineStr">
        <is>
          <t>Revelle of Bucks County</t>
        </is>
      </c>
      <c r="C39" s="5" t="inlineStr">
        <is>
          <t>Senior living</t>
        </is>
      </c>
      <c r="D39" s="5" t="inlineStr">
        <is>
          <t>945 York Rd</t>
        </is>
      </c>
      <c r="E39" s="5" t="inlineStr">
        <is>
          <t>Warminster</t>
        </is>
      </c>
      <c r="F39" s="5" t="inlineStr">
        <is>
          <t>Bucks</t>
        </is>
      </c>
      <c r="G39" s="5" t="inlineStr">
        <is>
          <t>Senior living campus</t>
        </is>
      </c>
      <c r="H39" s="8" t="n"/>
    </row>
    <row r="40">
      <c r="A40" s="5" t="n">
        <v>39</v>
      </c>
      <c r="B40" s="5" t="inlineStr">
        <is>
          <t>Forest Ridge</t>
        </is>
      </c>
      <c r="C40" s="5" t="inlineStr">
        <is>
          <t>Community</t>
        </is>
      </c>
      <c r="D40" s="5" t="inlineStr">
        <is>
          <t>300 Beech Blvd</t>
        </is>
      </c>
      <c r="E40" s="5" t="inlineStr">
        <is>
          <t>Warrington</t>
        </is>
      </c>
      <c r="F40" s="5" t="inlineStr">
        <is>
          <t>Bucks</t>
        </is>
      </c>
      <c r="G40" s="5" t="inlineStr">
        <is>
          <t>HOA entrance</t>
        </is>
      </c>
      <c r="H40" s="8" t="n"/>
    </row>
    <row r="41">
      <c r="A41" s="5" t="n">
        <v>40</v>
      </c>
      <c r="B41" s="5" t="inlineStr">
        <is>
          <t>Gateway Kia of Warrington</t>
        </is>
      </c>
      <c r="C41" s="5" t="inlineStr">
        <is>
          <t>Car dealership</t>
        </is>
      </c>
      <c r="D41" s="5" t="inlineStr">
        <is>
          <t>1425 Easton Rd</t>
        </is>
      </c>
      <c r="E41" s="5" t="inlineStr">
        <is>
          <t>Warrington</t>
        </is>
      </c>
      <c r="F41" s="5" t="inlineStr">
        <is>
          <t>Bucks</t>
        </is>
      </c>
      <c r="G41" s="5" t="inlineStr">
        <is>
          <t>Easton Rd frontage</t>
        </is>
      </c>
      <c r="H41" s="8" t="n"/>
    </row>
    <row r="42">
      <c r="A42" s="5" t="n">
        <v>41</v>
      </c>
      <c r="B42" s="5" t="inlineStr">
        <is>
          <t>Lamplighter Village</t>
        </is>
      </c>
      <c r="C42" s="5" t="inlineStr">
        <is>
          <t>55+ community</t>
        </is>
      </c>
      <c r="D42" s="5" t="inlineStr">
        <is>
          <t>100 Village Blvd</t>
        </is>
      </c>
      <c r="E42" s="5" t="inlineStr">
        <is>
          <t>Warrington</t>
        </is>
      </c>
      <c r="F42" s="5" t="inlineStr">
        <is>
          <t>Bucks</t>
        </is>
      </c>
      <c r="G42" s="5" t="inlineStr">
        <is>
          <t>HOA entrance and clubhouse</t>
        </is>
      </c>
      <c r="H42" s="8" t="n"/>
    </row>
    <row r="43">
      <c r="A43" s="5" t="n">
        <v>42</v>
      </c>
      <c r="B43" s="5" t="inlineStr">
        <is>
          <t>The Pathways at Warrington</t>
        </is>
      </c>
      <c r="C43" s="5" t="inlineStr">
        <is>
          <t>Senior living</t>
        </is>
      </c>
      <c r="D43" s="5" t="inlineStr">
        <is>
          <t>2900 Street Rd</t>
        </is>
      </c>
      <c r="E43" s="5" t="inlineStr">
        <is>
          <t>Warrington</t>
        </is>
      </c>
      <c r="F43" s="5" t="inlineStr">
        <is>
          <t>Bucks</t>
        </is>
      </c>
      <c r="G43" s="5" t="inlineStr">
        <is>
          <t>Senior living campus</t>
        </is>
      </c>
      <c r="H43" s="8" t="n"/>
    </row>
    <row r="44">
      <c r="A44" s="5" t="n">
        <v>43</v>
      </c>
      <c r="B44" s="5" t="inlineStr">
        <is>
          <t>The Solana Doylestown</t>
        </is>
      </c>
      <c r="C44" s="5" t="inlineStr">
        <is>
          <t>Senior living</t>
        </is>
      </c>
      <c r="D44" s="5" t="inlineStr">
        <is>
          <t>1621 Easton Rd</t>
        </is>
      </c>
      <c r="E44" s="5" t="inlineStr">
        <is>
          <t>Warrington</t>
        </is>
      </c>
      <c r="F44" s="5" t="inlineStr">
        <is>
          <t>Bucks</t>
        </is>
      </c>
      <c r="G44" s="5" t="inlineStr">
        <is>
          <t>Senior living campus</t>
        </is>
      </c>
      <c r="H44" s="8" t="n"/>
    </row>
    <row r="45">
      <c r="A45" s="5" t="n">
        <v>44</v>
      </c>
      <c r="B45" s="5" t="inlineStr">
        <is>
          <t>Canal Street Grille</t>
        </is>
      </c>
      <c r="C45" s="5" t="inlineStr">
        <is>
          <t>Restaurant</t>
        </is>
      </c>
      <c r="D45" s="5" t="inlineStr">
        <is>
          <t>27 E Afton Ave</t>
        </is>
      </c>
      <c r="E45" s="5" t="inlineStr">
        <is>
          <t>Yardley</t>
        </is>
      </c>
      <c r="F45" s="5" t="inlineStr">
        <is>
          <t>Bucks</t>
        </is>
      </c>
      <c r="G45" s="5" t="inlineStr">
        <is>
          <t>Downtown Yardley</t>
        </is>
      </c>
      <c r="H45" s="8" t="n"/>
    </row>
    <row r="46">
      <c r="A46" s="5" t="n">
        <v>45</v>
      </c>
      <c r="B46" s="5" t="inlineStr">
        <is>
          <t>Continental Tavern</t>
        </is>
      </c>
      <c r="C46" s="5" t="inlineStr">
        <is>
          <t>Restaurant/bar</t>
        </is>
      </c>
      <c r="D46" s="5" t="inlineStr">
        <is>
          <t>2 N Main St</t>
        </is>
      </c>
      <c r="E46" s="5" t="inlineStr">
        <is>
          <t>Yardley</t>
        </is>
      </c>
      <c r="F46" s="5" t="inlineStr">
        <is>
          <t>Bucks</t>
        </is>
      </c>
      <c r="G46" s="5" t="inlineStr">
        <is>
          <t>Corner of downtown Yardley</t>
        </is>
      </c>
      <c r="H46" s="8" t="n"/>
    </row>
    <row r="47">
      <c r="A47" s="5" t="n">
        <v>46</v>
      </c>
      <c r="B47" s="5" t="inlineStr">
        <is>
          <t>Krysset</t>
        </is>
      </c>
      <c r="C47" s="5" t="inlineStr">
        <is>
          <t>Retail - boutique</t>
        </is>
      </c>
      <c r="D47" s="5" t="inlineStr">
        <is>
          <t>6 S Main St</t>
        </is>
      </c>
      <c r="E47" s="5" t="inlineStr">
        <is>
          <t>Yardley</t>
        </is>
      </c>
      <c r="F47" s="5" t="inlineStr">
        <is>
          <t>Bucks</t>
        </is>
      </c>
      <c r="G47" s="5" t="inlineStr">
        <is>
          <t>Gift boutique</t>
        </is>
      </c>
      <c r="H47" s="8" t="n"/>
    </row>
    <row r="48">
      <c r="A48" s="5" t="n">
        <v>47</v>
      </c>
      <c r="B48" s="5" t="inlineStr">
        <is>
          <t>Remington of Yardley</t>
        </is>
      </c>
      <c r="C48" s="5" t="inlineStr">
        <is>
          <t>Senior living</t>
        </is>
      </c>
      <c r="D48" s="5" t="inlineStr">
        <is>
          <t>255 Oxford Valley Rd</t>
        </is>
      </c>
      <c r="E48" s="5" t="inlineStr">
        <is>
          <t>Yardley</t>
        </is>
      </c>
      <c r="F48" s="5" t="inlineStr">
        <is>
          <t>Bucks</t>
        </is>
      </c>
      <c r="G48" s="5" t="inlineStr">
        <is>
          <t>Senior living campus</t>
        </is>
      </c>
      <c r="H48" s="8" t="n"/>
    </row>
    <row r="49">
      <c r="A49" s="5" t="n">
        <v>48</v>
      </c>
      <c r="B49" s="5" t="inlineStr">
        <is>
          <t>Sunrise of Lower Makefield</t>
        </is>
      </c>
      <c r="C49" s="5" t="inlineStr">
        <is>
          <t>Senior living</t>
        </is>
      </c>
      <c r="D49" s="5" t="inlineStr">
        <is>
          <t>631 Stony Hill Rd</t>
        </is>
      </c>
      <c r="E49" s="5" t="inlineStr">
        <is>
          <t>Yardley</t>
        </is>
      </c>
      <c r="F49" s="5" t="inlineStr">
        <is>
          <t>Bucks</t>
        </is>
      </c>
      <c r="G49" s="5" t="inlineStr">
        <is>
          <t>Senior living campus</t>
        </is>
      </c>
      <c r="H49" s="8" t="n"/>
    </row>
    <row r="50">
      <c r="A50" s="5" t="n">
        <v>49</v>
      </c>
      <c r="B50" s="5" t="inlineStr">
        <is>
          <t>The Pink Daisy</t>
        </is>
      </c>
      <c r="C50" s="5" t="inlineStr">
        <is>
          <t>Retail - home goods</t>
        </is>
      </c>
      <c r="D50" s="5" t="inlineStr">
        <is>
          <t>90 W Afton Ave</t>
        </is>
      </c>
      <c r="E50" s="5" t="inlineStr">
        <is>
          <t>Yardley</t>
        </is>
      </c>
      <c r="F50" s="5" t="inlineStr">
        <is>
          <t>Bucks</t>
        </is>
      </c>
      <c r="G50" s="5" t="inlineStr">
        <is>
          <t>Gift/home boutique</t>
        </is>
      </c>
      <c r="H50" s="8" t="n"/>
    </row>
    <row r="51">
      <c r="A51" s="5" t="n">
        <v>50</v>
      </c>
      <c r="B51" s="5" t="inlineStr">
        <is>
          <t>Vault Brewing Company</t>
        </is>
      </c>
      <c r="C51" s="5" t="inlineStr">
        <is>
          <t>Brewery/restaurant</t>
        </is>
      </c>
      <c r="D51" s="5" t="inlineStr">
        <is>
          <t>10 S Main St</t>
        </is>
      </c>
      <c r="E51" s="5" t="inlineStr">
        <is>
          <t>Yardley</t>
        </is>
      </c>
      <c r="F51" s="5" t="inlineStr">
        <is>
          <t>Bucks</t>
        </is>
      </c>
      <c r="G51" s="5" t="inlineStr">
        <is>
          <t>Former bank building on Main St</t>
        </is>
      </c>
      <c r="H51" s="8" t="n"/>
    </row>
    <row r="52">
      <c r="A52" s="5" t="n">
        <v>51</v>
      </c>
      <c r="B52" s="5" t="inlineStr">
        <is>
          <t>Blue Bell Inn</t>
        </is>
      </c>
      <c r="C52" s="5" t="inlineStr">
        <is>
          <t>Restaurant</t>
        </is>
      </c>
      <c r="D52" s="5" t="inlineStr">
        <is>
          <t>Blue Bell</t>
        </is>
      </c>
      <c r="E52" s="5" t="inlineStr">
        <is>
          <t>Blue Bell</t>
        </is>
      </c>
      <c r="F52" s="5" t="inlineStr">
        <is>
          <t>Montgomery</t>
        </is>
      </c>
      <c r="G52" s="5" t="inlineStr">
        <is>
          <t>Landmark restaurant</t>
        </is>
      </c>
      <c r="H52" s="8" t="n"/>
    </row>
    <row r="53">
      <c r="A53" s="5" t="n">
        <v>52</v>
      </c>
      <c r="B53" s="5" t="inlineStr">
        <is>
          <t>The Fort Kitchen &amp; Bar</t>
        </is>
      </c>
      <c r="C53" s="5" t="inlineStr">
        <is>
          <t>Restaurant/bar</t>
        </is>
      </c>
      <c r="D53" s="5" t="inlineStr">
        <is>
          <t>325 Pennsylvania Ave</t>
        </is>
      </c>
      <c r="E53" s="5" t="inlineStr">
        <is>
          <t>Fort Washington</t>
        </is>
      </c>
      <c r="F53" s="5" t="inlineStr">
        <is>
          <t>Montgomery</t>
        </is>
      </c>
      <c r="G53" s="5" t="inlineStr">
        <is>
          <t>Independent restaurant</t>
        </is>
      </c>
      <c r="H53" s="8" t="n"/>
    </row>
    <row r="54">
      <c r="A54" s="5" t="n">
        <v>53</v>
      </c>
      <c r="B54" s="5" t="inlineStr">
        <is>
          <t>Franklin's Glenside Pub &amp; Grill</t>
        </is>
      </c>
      <c r="C54" s="5" t="inlineStr">
        <is>
          <t>Restaurant/bar</t>
        </is>
      </c>
      <c r="D54" s="5" t="inlineStr">
        <is>
          <t>106 S Easton Rd</t>
        </is>
      </c>
      <c r="E54" s="5" t="inlineStr">
        <is>
          <t>Glenside</t>
        </is>
      </c>
      <c r="F54" s="5" t="inlineStr">
        <is>
          <t>Montgomery</t>
        </is>
      </c>
      <c r="G54" s="5" t="inlineStr">
        <is>
          <t>Bar, owner decides</t>
        </is>
      </c>
      <c r="H54" s="8" t="n"/>
    </row>
    <row r="55">
      <c r="A55" s="5" t="n">
        <v>54</v>
      </c>
      <c r="B55" s="5" t="inlineStr">
        <is>
          <t>J.L. Freed Honda</t>
        </is>
      </c>
      <c r="C55" s="5" t="inlineStr">
        <is>
          <t>Car dealership</t>
        </is>
      </c>
      <c r="D55" s="5" t="inlineStr">
        <is>
          <t>685 Bethlehem Pike</t>
        </is>
      </c>
      <c r="E55" s="5" t="inlineStr">
        <is>
          <t>Montgomeryville</t>
        </is>
      </c>
      <c r="F55" s="5" t="inlineStr">
        <is>
          <t>Montgomery</t>
        </is>
      </c>
      <c r="G55" s="5" t="inlineStr">
        <is>
          <t>Rt 309 frontage</t>
        </is>
      </c>
      <c r="H55" s="8" t="n"/>
    </row>
    <row r="56">
      <c r="A56" s="5" t="n">
        <v>55</v>
      </c>
      <c r="B56" s="5" t="inlineStr">
        <is>
          <t>Montgomeryville Nissan</t>
        </is>
      </c>
      <c r="C56" s="5" t="inlineStr">
        <is>
          <t>Car dealership</t>
        </is>
      </c>
      <c r="D56" s="5" t="inlineStr">
        <is>
          <t>991 Bethlehem Pike</t>
        </is>
      </c>
      <c r="E56" s="5" t="inlineStr">
        <is>
          <t>Montgomeryville</t>
        </is>
      </c>
      <c r="F56" s="5" t="inlineStr">
        <is>
          <t>Montgomery</t>
        </is>
      </c>
      <c r="G56" s="5" t="inlineStr">
        <is>
          <t>Rt 309 frontage</t>
        </is>
      </c>
      <c r="H56" s="8" t="n"/>
    </row>
    <row r="57">
      <c r="A57" s="5" t="n">
        <v>56</v>
      </c>
      <c r="B57" s="5" t="inlineStr">
        <is>
          <t>Bistro Albertino</t>
        </is>
      </c>
      <c r="C57" s="5" t="inlineStr">
        <is>
          <t>Restaurant</t>
        </is>
      </c>
      <c r="D57" s="5" t="inlineStr">
        <is>
          <t>634 York Rd</t>
        </is>
      </c>
      <c r="E57" s="5" t="inlineStr">
        <is>
          <t>Willow Grove</t>
        </is>
      </c>
      <c r="F57" s="5" t="inlineStr">
        <is>
          <t>Montgomery</t>
        </is>
      </c>
      <c r="G57" s="5" t="inlineStr">
        <is>
          <t>Independent restaurant</t>
        </is>
      </c>
      <c r="H57" s="8" t="n"/>
    </row>
  </sheetData>
  <autoFilter ref="A1:H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</cols>
  <sheetData>
    <row r="1">
      <c r="A1" s="13" t="inlineStr">
        <is>
          <t>Call progress (updates automatically from the Status column on Call List)</t>
        </is>
      </c>
    </row>
    <row r="3">
      <c r="A3" s="12" t="inlineStr">
        <is>
          <t>Status</t>
        </is>
      </c>
      <c r="B3" s="12" t="inlineStr">
        <is>
          <t>Count</t>
        </is>
      </c>
      <c r="C3" s="12" t="inlineStr">
        <is>
          <t>Share of list</t>
        </is>
      </c>
    </row>
    <row r="4">
      <c r="A4" s="2" t="inlineStr">
        <is>
          <t>Not called</t>
        </is>
      </c>
      <c r="B4" s="2">
        <f>COUNTIF('Call List'!$I$2:$I$482,A4)</f>
        <v/>
      </c>
      <c r="C4" s="14">
        <f>IF($B$13=0,0,B4/$B$13)</f>
        <v/>
      </c>
    </row>
    <row r="5">
      <c r="A5" s="2" t="inlineStr">
        <is>
          <t>No answer</t>
        </is>
      </c>
      <c r="B5" s="2">
        <f>COUNTIF('Call List'!$I$2:$I$482,A5)</f>
        <v/>
      </c>
      <c r="C5" s="14">
        <f>IF($B$13=0,0,B5/$B$13)</f>
        <v/>
      </c>
    </row>
    <row r="6">
      <c r="A6" s="2" t="inlineStr">
        <is>
          <t>Left voicemail</t>
        </is>
      </c>
      <c r="B6" s="2">
        <f>COUNTIF('Call List'!$I$2:$I$482,A6)</f>
        <v/>
      </c>
      <c r="C6" s="14">
        <f>IF($B$13=0,0,B6/$B$13)</f>
        <v/>
      </c>
    </row>
    <row r="7">
      <c r="A7" s="2" t="inlineStr">
        <is>
          <t>Call back</t>
        </is>
      </c>
      <c r="B7" s="2">
        <f>COUNTIF('Call List'!$I$2:$I$482,A7)</f>
        <v/>
      </c>
      <c r="C7" s="14">
        <f>IF($B$13=0,0,B7/$B$13)</f>
        <v/>
      </c>
    </row>
    <row r="8">
      <c r="A8" s="2" t="inlineStr">
        <is>
          <t>Interested - visit/quote</t>
        </is>
      </c>
      <c r="B8" s="2">
        <f>COUNTIF('Call List'!$I$2:$I$482,A8)</f>
        <v/>
      </c>
      <c r="C8" s="14">
        <f>IF($B$13=0,0,B8/$B$13)</f>
        <v/>
      </c>
    </row>
    <row r="9">
      <c r="A9" s="2" t="inlineStr">
        <is>
          <t>Quote sent</t>
        </is>
      </c>
      <c r="B9" s="2">
        <f>COUNTIF('Call List'!$I$2:$I$482,A9)</f>
        <v/>
      </c>
      <c r="C9" s="14">
        <f>IF($B$13=0,0,B9/$B$13)</f>
        <v/>
      </c>
    </row>
    <row r="10">
      <c r="A10" s="2" t="inlineStr">
        <is>
          <t>Booked</t>
        </is>
      </c>
      <c r="B10" s="2">
        <f>COUNTIF('Call List'!$I$2:$I$482,A10)</f>
        <v/>
      </c>
      <c r="C10" s="14">
        <f>IF($B$13=0,0,B10/$B$13)</f>
        <v/>
      </c>
    </row>
    <row r="11">
      <c r="A11" s="2" t="inlineStr">
        <is>
          <t>Not interested</t>
        </is>
      </c>
      <c r="B11" s="2">
        <f>COUNTIF('Call List'!$I$2:$I$482,A11)</f>
        <v/>
      </c>
      <c r="C11" s="14">
        <f>IF($B$13=0,0,B11/$B$13)</f>
        <v/>
      </c>
    </row>
    <row r="12">
      <c r="A12" s="2" t="inlineStr">
        <is>
          <t>Wrong number / closed</t>
        </is>
      </c>
      <c r="B12" s="2">
        <f>COUNTIF('Call List'!$I$2:$I$482,A12)</f>
        <v/>
      </c>
      <c r="C12" s="14">
        <f>IF($B$13=0,0,B12/$B$13)</f>
        <v/>
      </c>
    </row>
    <row r="13">
      <c r="A13" s="15" t="inlineStr">
        <is>
          <t>Total leads</t>
        </is>
      </c>
      <c r="B13" s="15">
        <f>COUNTA('Call List'!$C$2:$C$482)</f>
        <v/>
      </c>
      <c r="C13" s="2" t="n"/>
    </row>
    <row r="14">
      <c r="A14" s="2" t="n"/>
      <c r="B14" s="2" t="n"/>
      <c r="C14" s="2" t="n"/>
    </row>
    <row r="15">
      <c r="A15" s="13" t="inlineStr">
        <is>
          <t>Leads by county</t>
        </is>
      </c>
      <c r="B15" s="2" t="n"/>
      <c r="C15" s="2" t="n"/>
    </row>
    <row r="16">
      <c r="A16" s="12" t="inlineStr">
        <is>
          <t>County</t>
        </is>
      </c>
      <c r="B16" s="12" t="inlineStr">
        <is>
          <t>Leads</t>
        </is>
      </c>
      <c r="C16" s="12" t="inlineStr">
        <is>
          <t>Booked</t>
        </is>
      </c>
    </row>
    <row r="17">
      <c r="A17" s="2" t="inlineStr">
        <is>
          <t>Bucks</t>
        </is>
      </c>
      <c r="B17" s="2">
        <f>COUNTIF('Call List'!$H$2:$H$482,A17)</f>
        <v/>
      </c>
      <c r="C17" s="2">
        <f>COUNTIFS('Call List'!$H$2:$H$482,A17,'Call List'!$I$2:$I$482,"Booked")</f>
        <v/>
      </c>
    </row>
    <row r="18">
      <c r="A18" s="2" t="inlineStr">
        <is>
          <t>Bucks/Montgomery</t>
        </is>
      </c>
      <c r="B18" s="2">
        <f>COUNTIF('Call List'!$H$2:$H$482,A18)</f>
        <v/>
      </c>
      <c r="C18" s="2">
        <f>COUNTIFS('Call List'!$H$2:$H$482,A18,'Call List'!$I$2:$I$482,"Booked")</f>
        <v/>
      </c>
    </row>
    <row r="19">
      <c r="A19" s="2" t="inlineStr">
        <is>
          <t>Montgomery</t>
        </is>
      </c>
      <c r="B19" s="2">
        <f>COUNTIF('Call List'!$H$2:$H$482,A19)</f>
        <v/>
      </c>
      <c r="C19" s="2">
        <f>COUNTIFS('Call List'!$H$2:$H$482,A19,'Call List'!$I$2:$I$482,"Booked")</f>
        <v/>
      </c>
    </row>
    <row r="20">
      <c r="A20" s="2" t="inlineStr">
        <is>
          <t>Philadelphia</t>
        </is>
      </c>
      <c r="B20" s="2">
        <f>COUNTIF('Call List'!$H$2:$H$482,A20)</f>
        <v/>
      </c>
      <c r="C20" s="2">
        <f>COUNTIFS('Call List'!$H$2:$H$482,A20,'Call List'!$I$2:$I$482,"Booked")</f>
        <v/>
      </c>
    </row>
    <row r="21">
      <c r="A21" s="2" t="n"/>
      <c r="B21" s="2" t="n"/>
      <c r="C21" s="2" t="n"/>
    </row>
    <row r="22">
      <c r="A22" s="2" t="n"/>
      <c r="B22" s="2" t="n"/>
      <c r="C22" s="2" t="n"/>
    </row>
    <row r="23">
      <c r="A23" s="13" t="inlineStr">
        <is>
          <t>Leads by priority</t>
        </is>
      </c>
      <c r="B23" s="2" t="n"/>
      <c r="C23" s="2" t="n"/>
    </row>
    <row r="24">
      <c r="A24" s="12" t="inlineStr">
        <is>
          <t>Priority</t>
        </is>
      </c>
      <c r="B24" s="12" t="inlineStr">
        <is>
          <t>Leads</t>
        </is>
      </c>
      <c r="C24" s="12" t="inlineStr">
        <is>
          <t>Booked</t>
        </is>
      </c>
    </row>
    <row r="25">
      <c r="A25" s="2" t="inlineStr">
        <is>
          <t>A</t>
        </is>
      </c>
      <c r="B25" s="2">
        <f>COUNTIF('Call List'!$B$2:$B$482,A25)</f>
        <v/>
      </c>
      <c r="C25" s="2">
        <f>COUNTIFS('Call List'!$B$2:$B$482,A25,'Call List'!$I$2:$I$482,"Booked")</f>
        <v/>
      </c>
    </row>
    <row r="26">
      <c r="A26" s="2" t="inlineStr">
        <is>
          <t>B</t>
        </is>
      </c>
      <c r="B26" s="2">
        <f>COUNTIF('Call List'!$B$2:$B$482,A26)</f>
        <v/>
      </c>
      <c r="C26" s="2">
        <f>COUNTIFS('Call List'!$B$2:$B$482,A26,'Call List'!$I$2:$I$482,"Booked")</f>
        <v/>
      </c>
    </row>
    <row r="27">
      <c r="A27" s="2" t="inlineStr">
        <is>
          <t>C</t>
        </is>
      </c>
      <c r="B27" s="2">
        <f>COUNTIF('Call List'!$B$2:$B$482,A27)</f>
        <v/>
      </c>
      <c r="C27" s="2">
        <f>COUNTIFS('Call List'!$B$2:$B$482,A27,'Call List'!$I$2:$I$482,"Booked")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2026-10-02T16:07:57Z</dcterms:created>
  <dcterms:modified xsi:type="dcterms:W3CDTF">2026-10-02T16:07:58Z</dcterms:modified>
</cp:coreProperties>
</file>